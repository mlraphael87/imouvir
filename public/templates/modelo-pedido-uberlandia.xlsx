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f0af59d890c93b/MAÇONARIA - PROJETO SAÚDE AUDITIVA/PEDIDOS - IMO/8 PEDIDOS 2026/647.13.26 - PCT ROMILDA ALVES FARIA - UBERLÃNDIA - 28.04.26/"/>
    </mc:Choice>
  </mc:AlternateContent>
  <xr:revisionPtr revIDLastSave="6" documentId="8_{9E55BD35-650D-451E-AF96-87863B2A07FB}" xr6:coauthVersionLast="47" xr6:coauthVersionMax="47" xr10:uidLastSave="{45E79B6B-A793-46F5-B696-34497F4B107B}"/>
  <bookViews>
    <workbookView xWindow="-120" yWindow="-120" windowWidth="29040" windowHeight="15720" xr2:uid="{2C997127-3746-4DD4-BE8C-F7F94F988A6D}"/>
  </bookViews>
  <sheets>
    <sheet name="Planilha de Pedidos SONIC" sheetId="27" r:id="rId1"/>
    <sheet name="Planilha1" sheetId="28" r:id="rId2"/>
    <sheet name="ENDEREÇAMENTO" sheetId="29" r:id="rId3"/>
    <sheet name="Sheet2" sheetId="12" state="hidden" r:id="rId4"/>
    <sheet name="Sheet1" sheetId="11" state="hidden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27" l="1"/>
  <c r="B14" i="27" l="1"/>
  <c r="C202" i="28"/>
  <c r="C201" i="28"/>
  <c r="C200" i="28"/>
  <c r="C199" i="28"/>
  <c r="C34" i="28"/>
  <c r="E39" i="27" l="1"/>
  <c r="E38" i="27"/>
  <c r="E37" i="27"/>
  <c r="E36" i="27"/>
  <c r="E35" i="27"/>
  <c r="E34" i="27"/>
  <c r="E33" i="27"/>
  <c r="E20" i="27"/>
  <c r="F20" i="27" s="1"/>
  <c r="E19" i="27"/>
  <c r="F19" i="27" s="1"/>
  <c r="E18" i="27"/>
  <c r="F18" i="27" s="1"/>
  <c r="E17" i="27"/>
  <c r="F17" i="27" s="1"/>
  <c r="E16" i="27"/>
  <c r="F16" i="27" s="1"/>
  <c r="E15" i="27"/>
  <c r="F15" i="27" s="1"/>
  <c r="F13" i="27"/>
  <c r="B16" i="27"/>
  <c r="B15" i="27"/>
  <c r="F14" i="27"/>
  <c r="B13" i="27"/>
  <c r="E21" i="27"/>
  <c r="F21" i="27" s="1"/>
  <c r="E22" i="27"/>
  <c r="F22" i="27" s="1"/>
  <c r="E23" i="27"/>
  <c r="F23" i="27" s="1"/>
  <c r="E24" i="27"/>
  <c r="F24" i="27" s="1"/>
  <c r="E25" i="27"/>
  <c r="F25" i="27" s="1"/>
  <c r="E26" i="27"/>
  <c r="E27" i="27"/>
  <c r="B22" i="27"/>
  <c r="B21" i="27"/>
  <c r="B20" i="27"/>
  <c r="B19" i="27"/>
  <c r="B18" i="27"/>
  <c r="B17" i="27"/>
  <c r="E28" i="27"/>
  <c r="B25" i="27"/>
  <c r="B24" i="27"/>
  <c r="B23" i="27"/>
  <c r="D201" i="11" l="1"/>
  <c r="D202" i="11"/>
  <c r="D203" i="11"/>
  <c r="D204" i="11"/>
  <c r="D36" i="11"/>
  <c r="F38" i="27" l="1"/>
  <c r="B38" i="27"/>
  <c r="F39" i="27"/>
  <c r="B39" i="27"/>
  <c r="F37" i="27"/>
  <c r="F36" i="27"/>
  <c r="F28" i="27"/>
  <c r="B28" i="27"/>
  <c r="F35" i="27" l="1"/>
  <c r="B35" i="27"/>
  <c r="F34" i="27"/>
  <c r="B34" i="27"/>
  <c r="F33" i="27"/>
  <c r="B33" i="27"/>
  <c r="F32" i="27"/>
  <c r="B32" i="27"/>
  <c r="F27" i="27"/>
  <c r="B27" i="27"/>
  <c r="B26" i="27"/>
  <c r="C9" i="27"/>
  <c r="F40" i="27" l="1"/>
  <c r="F26" i="27"/>
  <c r="F29" i="27" s="1"/>
</calcChain>
</file>

<file path=xl/sharedStrings.xml><?xml version="1.0" encoding="utf-8"?>
<sst xmlns="http://schemas.openxmlformats.org/spreadsheetml/2006/main" count="493" uniqueCount="248">
  <si>
    <t>Descrição</t>
  </si>
  <si>
    <t>Código</t>
  </si>
  <si>
    <t>Quantidade</t>
  </si>
  <si>
    <t>Valor unitário</t>
  </si>
  <si>
    <t>Valor total</t>
  </si>
  <si>
    <t>ID:</t>
  </si>
  <si>
    <t>Cliente:</t>
  </si>
  <si>
    <t>TX Vl. Paulista</t>
  </si>
  <si>
    <t>NF:</t>
  </si>
  <si>
    <t>TOTAL</t>
  </si>
  <si>
    <t>003040854</t>
  </si>
  <si>
    <t>Desumidificador KidCat Sonic</t>
  </si>
  <si>
    <t>CAPTIVATE 40 BTE 105</t>
  </si>
  <si>
    <t>CAPTIVATE 40 MINIRITE</t>
  </si>
  <si>
    <t>Recep. 85 miniFit 2L</t>
  </si>
  <si>
    <t>Recep. 85 miniFit 2R</t>
  </si>
  <si>
    <t>Prowax**</t>
  </si>
  <si>
    <t>Recep. 60 miniFit 2L</t>
  </si>
  <si>
    <t>Recep. 60 miniFit 2R</t>
  </si>
  <si>
    <t>Recep. 60 miniFit 3L</t>
  </si>
  <si>
    <t>Recep. 60 miniFit 3R</t>
  </si>
  <si>
    <t>Recep. 85 miniFit 3L</t>
  </si>
  <si>
    <t>Recep. 85 miniFit 3R</t>
  </si>
  <si>
    <t>Domo Power 8mm</t>
  </si>
  <si>
    <t>Domo Aberto 8 mm</t>
  </si>
  <si>
    <t>Domo Aberto 10 mm</t>
  </si>
  <si>
    <t>Adaptadores Domo Plus (Tulipa)</t>
  </si>
  <si>
    <t>086</t>
  </si>
  <si>
    <t>CAPTIVATE 20 MINIRITE</t>
  </si>
  <si>
    <t>CAPTIVATE 40 MINIRITE Recarregável</t>
  </si>
  <si>
    <t>WAX PROTECTION SET PROWAX MINIFIT</t>
  </si>
  <si>
    <t>Domo Bass Single (único) 10mm</t>
  </si>
  <si>
    <t>102</t>
  </si>
  <si>
    <t>CARREGADOR SONIC PLUS</t>
  </si>
  <si>
    <t>Domo Aberto 6 mm</t>
  </si>
  <si>
    <t>CARREGADOR SONIC MESA</t>
  </si>
  <si>
    <t>TREK 40 Super Power</t>
  </si>
  <si>
    <t>TREK 40 Ultra Power</t>
  </si>
  <si>
    <t>CAPTIVATE 100 MINIRITE Recarregável</t>
  </si>
  <si>
    <t>CAPTIVATE 100 MINIRITE</t>
  </si>
  <si>
    <t>CAPTIVATE 100 BTE 105</t>
  </si>
  <si>
    <t>CAPTIVATE 80 MINIRITE Recarregável</t>
  </si>
  <si>
    <t>CAPTIVATE 80 MINIRITE</t>
  </si>
  <si>
    <t>CAPTIVATE 80 BTE 105</t>
  </si>
  <si>
    <t>CAPTIVATE 60 MINIRITE Recarregável</t>
  </si>
  <si>
    <t>CAPTIVATE 60 MINIRITE</t>
  </si>
  <si>
    <t>CAPTIVATE 60 BTE 105</t>
  </si>
  <si>
    <t>CAPTIVATE 20 BTE 105</t>
  </si>
  <si>
    <t>Recep. 60 miniFit 1L</t>
  </si>
  <si>
    <t>Recep. 60 miniFit 1R</t>
  </si>
  <si>
    <t>Recep. 60 miniFit 4L</t>
  </si>
  <si>
    <t>Recep. 60 miniFit 4R</t>
  </si>
  <si>
    <t>Recep. 85 miniFit 1L</t>
  </si>
  <si>
    <t>Recep. 85 miniFit 1R</t>
  </si>
  <si>
    <t>Recep. 85 miniFit 4L</t>
  </si>
  <si>
    <t>Recep. 85 miniFit 4R</t>
  </si>
  <si>
    <t>Recep. 100 miniFit 1L</t>
  </si>
  <si>
    <t>Recep. 100 miniFit 1R</t>
  </si>
  <si>
    <t>Recep. 100 miniFit 2L</t>
  </si>
  <si>
    <t>Recep. 100 miniFit 2R</t>
  </si>
  <si>
    <t>Recep. 100 miniFit 3L</t>
  </si>
  <si>
    <t>Recep. 100 miniFit 3R</t>
  </si>
  <si>
    <t>Recep. 100 miniFit 4L</t>
  </si>
  <si>
    <t>Recep. 100 miniFit 4R</t>
  </si>
  <si>
    <t xml:space="preserve">Domo OpenBass 5mm (aberto) - receptor de 60dB </t>
  </si>
  <si>
    <t xml:space="preserve">Domo OpenBass 6mm (aberto) </t>
  </si>
  <si>
    <t xml:space="preserve">Domo OpenBass 8mm (aberto) </t>
  </si>
  <si>
    <t xml:space="preserve">Domo OpenBass 10mm (aberto) </t>
  </si>
  <si>
    <t xml:space="preserve">Domo OpenBass 12mm (aberto) </t>
  </si>
  <si>
    <t>Domo Aberto 5 mm</t>
  </si>
  <si>
    <t>Domo Bass Double (duplo) 6mm</t>
  </si>
  <si>
    <t>Domo Bass Double (duplo) 8mm</t>
  </si>
  <si>
    <t>Domo Bass Double (duplo) 10mm</t>
  </si>
  <si>
    <t>Domo Bass Double (duplo) 12mm</t>
  </si>
  <si>
    <t>Domo Bass Single (único) 6mm</t>
  </si>
  <si>
    <t>Domo Bass Single (único) 8mm</t>
  </si>
  <si>
    <t>Domo Bass Single (único) 12mm</t>
  </si>
  <si>
    <t>Domo Power 6mm</t>
  </si>
  <si>
    <t>Domo Power 10mm</t>
  </si>
  <si>
    <t>Domo Power 12mm</t>
  </si>
  <si>
    <t>RADIANT100 MNBTE</t>
  </si>
  <si>
    <t>RADIANT 60 MNR</t>
  </si>
  <si>
    <t>RADIANT 60 MNBTE</t>
  </si>
  <si>
    <t>RADIANT 20 MNR</t>
  </si>
  <si>
    <t>RADIANT 20 MNBTE</t>
  </si>
  <si>
    <t>RECEPTORES</t>
  </si>
  <si>
    <t>DOMO</t>
  </si>
  <si>
    <t>RADIANT100 MNR RECARREGÁVEL</t>
  </si>
  <si>
    <t xml:space="preserve">RADIANT 100 MNR </t>
  </si>
  <si>
    <t>RADIANT 60 MNR RECARREGÁVEL</t>
  </si>
  <si>
    <t>RADIANT 20 MNR RECARREGÁVEL</t>
  </si>
  <si>
    <t>AASI</t>
  </si>
  <si>
    <t>Bateria Recarregável 312+ LI-ION SER</t>
  </si>
  <si>
    <t>PILHAS</t>
  </si>
  <si>
    <t xml:space="preserve">FILTROS </t>
  </si>
  <si>
    <t>Filtro do gancho ( Damper )</t>
  </si>
  <si>
    <t>O-Cap (ITC, ITE) - protetor microfone</t>
  </si>
  <si>
    <t>T-Cap Bege (CIC) - protetor microfone</t>
  </si>
  <si>
    <t>T-Cap Preto (IIC) - protetor microfone</t>
  </si>
  <si>
    <t>Waxstop</t>
  </si>
  <si>
    <t>FERRAMENTAS</t>
  </si>
  <si>
    <t>Régua para medir tubo fino</t>
  </si>
  <si>
    <t>Régua para medir receptor 0 a 5</t>
  </si>
  <si>
    <t>Ferramenta para medir impressão</t>
  </si>
  <si>
    <t>Ferramenta Lite Tip</t>
  </si>
  <si>
    <t>Ferramenta para remoção do receptor</t>
  </si>
  <si>
    <t>FERRAMENTA PARA ADAPTADOR (Trimmer)</t>
  </si>
  <si>
    <t>Ferramenta para remoção do pino (chave vermelha)</t>
  </si>
  <si>
    <t>Ferramenta para limpeza de ventilação</t>
  </si>
  <si>
    <t>Ferramenta para filtro de micro molde (empurrar)</t>
  </si>
  <si>
    <t>Ferramenta para micro molde (apertar)</t>
  </si>
  <si>
    <t>Ferramenta para limpeza de ventilação pequena</t>
  </si>
  <si>
    <t>Ferramenta para medir tamanho da ventilação</t>
  </si>
  <si>
    <t xml:space="preserve">Ferramenta para retirar Flex Power Mould </t>
  </si>
  <si>
    <t>ACESSÓRIOS FONOAUDIÓLOGOS</t>
  </si>
  <si>
    <t>Caneta Earlite</t>
  </si>
  <si>
    <t>Ponta para caneta Earlite</t>
  </si>
  <si>
    <t>Lâmpada para caneta Earlite</t>
  </si>
  <si>
    <t>Material p/ impressão A- Zoft (B+C) (azul e branca)</t>
  </si>
  <si>
    <t>Material p/ impressão Dreve 544g (verde e branca)</t>
  </si>
  <si>
    <t>Seringa para molde</t>
  </si>
  <si>
    <t>Estetoclips</t>
  </si>
  <si>
    <t>Tubo para Estetoclips</t>
  </si>
  <si>
    <t>Adaptador para Estetoclips</t>
  </si>
  <si>
    <t>Pino Estetoclips</t>
  </si>
  <si>
    <t>Estetoclips completo</t>
  </si>
  <si>
    <t>Tubinho de molde dobrado (2 mm)</t>
  </si>
  <si>
    <t>Pinça pequena</t>
  </si>
  <si>
    <t>GANCHOS</t>
  </si>
  <si>
    <t>Cheer | Captivate (Adulto com filtro)</t>
  </si>
  <si>
    <t>Captivate (Pediátrico com filtro)</t>
  </si>
  <si>
    <t>Captivate (Adulto)</t>
  </si>
  <si>
    <t>Captivate (Pediátrico)</t>
  </si>
  <si>
    <t>Trek (Adulto com filtro)</t>
  </si>
  <si>
    <t>Trek (Pediátrico com filtro)</t>
  </si>
  <si>
    <t>Trek (Adulto)</t>
  </si>
  <si>
    <t>Trek (Pediátrico)</t>
  </si>
  <si>
    <t>Cheer Nano</t>
  </si>
  <si>
    <t xml:space="preserve"> Pep 20</t>
  </si>
  <si>
    <t xml:space="preserve"> Journey</t>
  </si>
  <si>
    <t>Tubo Fino miniFit 0.9 0L</t>
  </si>
  <si>
    <t>Tubo Fino miniFit 0.9 0R</t>
  </si>
  <si>
    <t>Tubo Fino miniFit 0.9 1L</t>
  </si>
  <si>
    <t>Tubo Fino miniFit 0.9 1R</t>
  </si>
  <si>
    <t>Tubo Fino miniFit 0.9 2L</t>
  </si>
  <si>
    <t>Tubo Fino miniFit 0.9 2R</t>
  </si>
  <si>
    <t>Tubo Fino miniFit 0.9 3L</t>
  </si>
  <si>
    <t>Tubo Fino miniFit 0.9 3R</t>
  </si>
  <si>
    <t>Tubo Fino miniFit 1.3 0L</t>
  </si>
  <si>
    <t>Tubo Fino miniFit 1.3 0R</t>
  </si>
  <si>
    <t>Tubo Fino miniFit 1.3 1L</t>
  </si>
  <si>
    <t>Tubo Fino miniFit 1.3 1R</t>
  </si>
  <si>
    <t>Tubo Fino miniFit 1.3 2L</t>
  </si>
  <si>
    <t>Tubo Fino miniFit 1.3 2R</t>
  </si>
  <si>
    <t>Tubo Fino miniFit 1.3 3L</t>
  </si>
  <si>
    <t>Tubo Fino miniFit 1.3 3R</t>
  </si>
  <si>
    <t>ACESSÓRIOS CONECTIVIDADE</t>
  </si>
  <si>
    <t>SoundGate 3</t>
  </si>
  <si>
    <t>Microfone Sonic</t>
  </si>
  <si>
    <t>Controle Remoto Sonic</t>
  </si>
  <si>
    <t>SoundClip A 2.4 G</t>
  </si>
  <si>
    <t>Adaptador TV-A 2.4 G</t>
  </si>
  <si>
    <t>Controle Remoto RC-A, 2.4G</t>
  </si>
  <si>
    <t>NOAHLINK WL - CPD-1</t>
  </si>
  <si>
    <t>ACESSÓRIOS DE PROGRAMAÇÃO</t>
  </si>
  <si>
    <t>Cabo para programação Nº 03 – OD (Vermelho)</t>
  </si>
  <si>
    <t xml:space="preserve">Cabo para programação Nº 03 – OE (Azul) </t>
  </si>
  <si>
    <t>FlexConnect (miniRITE)</t>
  </si>
  <si>
    <t xml:space="preserve">Mini FlexConnect </t>
  </si>
  <si>
    <t xml:space="preserve">Sapata branca para programação </t>
  </si>
  <si>
    <t>Adaptador mini para programação (CIC)</t>
  </si>
  <si>
    <t>ACESSÓRIOS PARA USUÁRIOS</t>
  </si>
  <si>
    <t>Bombinha de ar</t>
  </si>
  <si>
    <t>Bateria para aparelho recarregável</t>
  </si>
  <si>
    <t>Desumidificador Elétrico PerfectDry Lux</t>
  </si>
  <si>
    <t>Testador de pilhas</t>
  </si>
  <si>
    <t>003040848</t>
  </si>
  <si>
    <t>Codigo</t>
  </si>
  <si>
    <t>Cond. Pagto</t>
  </si>
  <si>
    <t>Descricao</t>
  </si>
  <si>
    <t>001</t>
  </si>
  <si>
    <t>00</t>
  </si>
  <si>
    <t>009</t>
  </si>
  <si>
    <t>30</t>
  </si>
  <si>
    <t>BOLETO 30 DIAS</t>
  </si>
  <si>
    <t>011</t>
  </si>
  <si>
    <t>30,60,90</t>
  </si>
  <si>
    <t>30,60</t>
  </si>
  <si>
    <t>30,60,90,120</t>
  </si>
  <si>
    <t>100</t>
  </si>
  <si>
    <t>30,60,90,120,150,180</t>
  </si>
  <si>
    <t>105</t>
  </si>
  <si>
    <t>30,60,90,120,150</t>
  </si>
  <si>
    <t>107</t>
  </si>
  <si>
    <t>30,60,90,120,150,180,210,240</t>
  </si>
  <si>
    <t>30,60,90,120,150,180,210,240,270,300</t>
  </si>
  <si>
    <t>6X BOLETO</t>
  </si>
  <si>
    <t>5X BOLETO</t>
  </si>
  <si>
    <t>4X BOLETO</t>
  </si>
  <si>
    <t>3X BOLETO</t>
  </si>
  <si>
    <t>2X BOLETO</t>
  </si>
  <si>
    <t>DEPOSITO EM CONTA</t>
  </si>
  <si>
    <t>CIELO</t>
  </si>
  <si>
    <t>PAGAMENTO CARTÃO</t>
  </si>
  <si>
    <t>CARTÃO DE CRÉDITO</t>
  </si>
  <si>
    <t>Condição de Pagamento</t>
  </si>
  <si>
    <t>Código Pagamento</t>
  </si>
  <si>
    <t>PLANILHA DE PEDIDOS SONIC</t>
  </si>
  <si>
    <t xml:space="preserve">CNPJ: </t>
  </si>
  <si>
    <t>SEM</t>
  </si>
  <si>
    <t>BONI</t>
  </si>
  <si>
    <t>MALETA SONIC KIT DE TUBOS FINOS MINIFIT</t>
  </si>
  <si>
    <t>MALETA SONIC KIT DE RECEPTORES</t>
  </si>
  <si>
    <t>DEMO</t>
  </si>
  <si>
    <t>PEDIDO</t>
  </si>
  <si>
    <t>Bonificação</t>
  </si>
  <si>
    <t>Grip Tip com Ventilação Pequeno L</t>
  </si>
  <si>
    <t>Grip Tip com Ventilação Pequeno R</t>
  </si>
  <si>
    <t>Grip Tip com Ventilação Grande L</t>
  </si>
  <si>
    <t>Grip Tip com Ventilação Grande R</t>
  </si>
  <si>
    <t>Grip Tip sem Ventilação Pequeno L</t>
  </si>
  <si>
    <t>Grip Tip sem Ventilação Pequeno R</t>
  </si>
  <si>
    <t>Grip Tip sem Ventilação Grande L</t>
  </si>
  <si>
    <t>Grip Tip sem Ventilação Grande R</t>
  </si>
  <si>
    <t>Sonic 10</t>
  </si>
  <si>
    <t>Sonic 13</t>
  </si>
  <si>
    <t>Sonic 312</t>
  </si>
  <si>
    <t>Sonic 675</t>
  </si>
  <si>
    <t>RADIANT100 CUSTOMIZADO</t>
  </si>
  <si>
    <t>RADIANT 60 CUSTOMIZADO</t>
  </si>
  <si>
    <t>RADIANT 20 CUSTOMIZADO</t>
  </si>
  <si>
    <t>NÃO EDITAR CÉLULAS EM AMARELHO</t>
  </si>
  <si>
    <t>*Razão Social:</t>
  </si>
  <si>
    <t>N° de Pedido:</t>
  </si>
  <si>
    <t>Endereço de Entrega</t>
  </si>
  <si>
    <t>Nome do Paciente</t>
  </si>
  <si>
    <t>CEP</t>
  </si>
  <si>
    <t>Cidade</t>
  </si>
  <si>
    <t>INSTITUTO MAÇÔNICO OUVIR - IMOUVIR</t>
  </si>
  <si>
    <t>IMOUVIR</t>
  </si>
  <si>
    <t>35.342.560/0001-09</t>
  </si>
  <si>
    <t>PGTO</t>
  </si>
  <si>
    <t>38.414-308</t>
  </si>
  <si>
    <t>UBERLÂNDIA - MT</t>
  </si>
  <si>
    <t>ASSOCIAÇÃO DOS SURDOS E MUDOS DE UBERLÂNDIA - ASUL 
A/C FGA BRENDDA MAIA DE SOUSA
RUA MATHEUS VAZ N° 865 , BAIRRO: LUIZOTE DE FREITAS  II
UBERLÂNDIA / MG
CEP 38.414-308</t>
  </si>
  <si>
    <t>Pedido de Faturamento,
Para faturamento segue o pedido em referência onde solicito o encaminhamento para o seguinte endereço:
Destinatário: Fga Brendda Maia de Sousa
Empresa: ASSOCIAÇÃO DOS SURDOS E MUDOS DE UBERLÂNDIA - ASUL 
Endereço: RUA MATHEUS VAZ
Complemento – N° 865
Bairro: LUIZOTE DE FREITAS  II
Cidade: Uberlândia
Estado: MG
CEP: 38.414-308
OBSERVAÇÃO: Favor informar no campo ‘INFORMAÇÕES COMPLEMENTARES” das NF´s da TELEX e ATOMED o número do nosso pedido e nome do paciente indicados acima em referência.
At.te</t>
  </si>
  <si>
    <t>OC 647.13.26</t>
  </si>
  <si>
    <t>647.13.26 - PCT ROMILDA ALVES FARIA - UBERLÂNDIA - 28.04.26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</si>
</sst>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.00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7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2" xfId="0" applyNumberFormat="1" applyBorder="1" applyAlignment="1">
      <alignment horizontal="center"/>
    </xf>
    <xf numFmtId="0" fontId="4" fillId="5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/>
    </xf>
    <xf numFmtId="164" fontId="1" fillId="4" borderId="4" xfId="0" applyNumberFormat="1" applyFont="1" applyFill="1" applyBorder="1" applyAlignment="1">
      <alignment horizontal="left"/>
    </xf>
    <xf numFmtId="0" fontId="3" fillId="3" borderId="0" xfId="0" applyFont="1" applyFill="1"/>
    <xf numFmtId="0" fontId="3" fillId="0" borderId="0" xfId="0" applyFont="1"/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wrapText="1"/>
    </xf>
    <xf numFmtId="49" fontId="3" fillId="3" borderId="0" xfId="0" applyNumberFormat="1" applyFont="1" applyFill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8" xfId="0" applyFont="1" applyBorder="1"/>
    <xf numFmtId="0" fontId="3" fillId="2" borderId="4" xfId="0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3" fillId="3" borderId="0" xfId="1" applyNumberFormat="1" applyFont="1" applyFill="1"/>
    <xf numFmtId="165" fontId="3" fillId="3" borderId="0" xfId="1" applyNumberFormat="1" applyFont="1" applyFill="1" applyAlignment="1">
      <alignment horizontal="center"/>
    </xf>
    <xf numFmtId="165" fontId="6" fillId="3" borderId="0" xfId="1" applyNumberFormat="1" applyFont="1" applyFill="1" applyAlignment="1">
      <alignment horizontal="center"/>
    </xf>
    <xf numFmtId="165" fontId="2" fillId="3" borderId="0" xfId="1" applyNumberFormat="1" applyFont="1" applyFill="1" applyAlignment="1">
      <alignment horizontal="center" vertical="center"/>
    </xf>
    <xf numFmtId="165" fontId="2" fillId="3" borderId="0" xfId="1" applyNumberFormat="1" applyFont="1" applyFill="1" applyAlignment="1">
      <alignment horizontal="center" vertical="center" wrapText="1"/>
    </xf>
    <xf numFmtId="165" fontId="3" fillId="3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vertical="center" wrapText="1"/>
    </xf>
    <xf numFmtId="165" fontId="8" fillId="0" borderId="7" xfId="1" applyNumberFormat="1" applyFont="1" applyBorder="1" applyAlignment="1">
      <alignment horizontal="center"/>
    </xf>
    <xf numFmtId="165" fontId="0" fillId="0" borderId="0" xfId="1" applyNumberFormat="1" applyFont="1"/>
    <xf numFmtId="0" fontId="2" fillId="6" borderId="2" xfId="0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/>
    </xf>
    <xf numFmtId="0" fontId="10" fillId="6" borderId="0" xfId="0" applyFont="1" applyFill="1"/>
    <xf numFmtId="0" fontId="11" fillId="0" borderId="0" xfId="0" applyFont="1"/>
    <xf numFmtId="0" fontId="4" fillId="5" borderId="2" xfId="0" applyFont="1" applyFill="1" applyBorder="1"/>
    <xf numFmtId="0" fontId="1" fillId="2" borderId="2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2" fillId="0" borderId="0" xfId="0" applyFont="1"/>
    <xf numFmtId="0" fontId="0" fillId="0" borderId="0" xfId="0" applyAlignment="1">
      <alignment wrapText="1"/>
    </xf>
    <xf numFmtId="0" fontId="2" fillId="3" borderId="9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3" fontId="3" fillId="2" borderId="3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3" xfId="0" applyFont="1" applyFill="1" applyBorder="1"/>
    <xf numFmtId="0" fontId="3" fillId="2" borderId="5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4" fillId="5" borderId="6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49" fontId="5" fillId="2" borderId="3" xfId="0" applyNumberFormat="1" applyFont="1" applyFill="1" applyBorder="1"/>
    <xf numFmtId="49" fontId="5" fillId="2" borderId="4" xfId="0" applyNumberFormat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mant-my.sharepoint.com/personal/hngs_sonici_com/Documents/Microsoft%20Teams%20Chat%20Files/Tabela%20Acess&#243;rios%20Geral%201.xlsx" TargetMode="External"/><Relationship Id="rId1" Type="http://schemas.openxmlformats.org/officeDocument/2006/relationships/externalLinkPath" Target="https://demant-my.sharepoint.com/personal/hngs_sonici_com/Documents/Microsoft%20Teams%20Chat%20Files/Tabela%20Acess&#243;rios%20Geral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</sheetNames>
    <sheetDataSet>
      <sheetData sheetId="0" refreshError="1"/>
      <sheetData sheetId="1" refreshError="1">
        <row r="2">
          <cell r="C2" t="str">
            <v>Códigos</v>
          </cell>
          <cell r="D2" t="str">
            <v>Produtos</v>
          </cell>
          <cell r="E2" t="str">
            <v>Quantidade</v>
          </cell>
          <cell r="F2" t="str">
            <v xml:space="preserve">Valor </v>
          </cell>
        </row>
        <row r="3">
          <cell r="C3">
            <v>685010</v>
          </cell>
          <cell r="D3" t="str">
            <v>Pilha Rayovac 10</v>
          </cell>
          <cell r="E3" t="str">
            <v>Cartela com 6 unidades</v>
          </cell>
          <cell r="F3">
            <v>9.5</v>
          </cell>
        </row>
        <row r="4">
          <cell r="C4">
            <v>685312</v>
          </cell>
          <cell r="D4" t="str">
            <v>Pilha Rayovac 312</v>
          </cell>
          <cell r="E4" t="str">
            <v>Cartela com 6 unidades</v>
          </cell>
          <cell r="F4">
            <v>9.5</v>
          </cell>
        </row>
        <row r="5">
          <cell r="C5">
            <v>685013</v>
          </cell>
          <cell r="D5" t="str">
            <v>Pilha Rayovac 13</v>
          </cell>
          <cell r="E5" t="str">
            <v>Cartela com 6 unidades</v>
          </cell>
          <cell r="F5">
            <v>9.5</v>
          </cell>
        </row>
        <row r="6">
          <cell r="C6">
            <v>685675</v>
          </cell>
          <cell r="D6" t="str">
            <v>Pilha Rayovac 675</v>
          </cell>
          <cell r="E6" t="str">
            <v>Cartela com 6 unidades</v>
          </cell>
          <cell r="F6">
            <v>9.5</v>
          </cell>
        </row>
        <row r="7">
          <cell r="C7">
            <v>240909</v>
          </cell>
          <cell r="D7" t="str">
            <v>Bateria Recarregável 312+ LI-ION SER</v>
          </cell>
          <cell r="E7" t="str">
            <v>Unidade</v>
          </cell>
          <cell r="F7">
            <v>119.59</v>
          </cell>
        </row>
        <row r="8">
          <cell r="C8"/>
          <cell r="D8"/>
          <cell r="E8"/>
          <cell r="F8"/>
        </row>
        <row r="9">
          <cell r="C9">
            <v>6893021000</v>
          </cell>
          <cell r="D9" t="str">
            <v>Filtro do gancho ( Damper )</v>
          </cell>
          <cell r="E9" t="str">
            <v>Blister com 6 unidades</v>
          </cell>
          <cell r="F9">
            <v>28.75</v>
          </cell>
        </row>
        <row r="10">
          <cell r="C10">
            <v>128003</v>
          </cell>
          <cell r="D10" t="str">
            <v>O-Cap (ITC, ITE) - protetor microfone</v>
          </cell>
          <cell r="E10" t="str">
            <v>Blister com 8 unidades</v>
          </cell>
          <cell r="F10">
            <v>100</v>
          </cell>
        </row>
        <row r="11">
          <cell r="C11">
            <v>130091</v>
          </cell>
          <cell r="D11" t="str">
            <v>WAX PROTECTION SET PROWAX MINIFIT</v>
          </cell>
          <cell r="E11" t="str">
            <v>Blister com 6 unidades</v>
          </cell>
          <cell r="F11">
            <v>71.3</v>
          </cell>
        </row>
        <row r="12">
          <cell r="C12">
            <v>123367</v>
          </cell>
          <cell r="D12" t="str">
            <v>Prowax**</v>
          </cell>
          <cell r="E12" t="str">
            <v>Blister com 6 unidades</v>
          </cell>
          <cell r="F12">
            <v>57.5</v>
          </cell>
        </row>
        <row r="13">
          <cell r="C13">
            <v>123328</v>
          </cell>
          <cell r="D13" t="str">
            <v>T-Cap Bege (CIC) - protetor microfone</v>
          </cell>
          <cell r="E13" t="str">
            <v>Blister com 8 unidades</v>
          </cell>
          <cell r="F13">
            <v>90.85</v>
          </cell>
        </row>
        <row r="14">
          <cell r="C14">
            <v>123327</v>
          </cell>
          <cell r="D14" t="str">
            <v>T-Cap Preto (IIC) - protetor microfone</v>
          </cell>
          <cell r="E14" t="str">
            <v>Blister com 8 unidades</v>
          </cell>
          <cell r="F14">
            <v>86.25</v>
          </cell>
        </row>
        <row r="15">
          <cell r="C15">
            <v>6893028000</v>
          </cell>
          <cell r="D15" t="str">
            <v>Waxstop</v>
          </cell>
          <cell r="E15" t="str">
            <v>Blister com 8 unidades</v>
          </cell>
          <cell r="F15">
            <v>25.3</v>
          </cell>
        </row>
        <row r="16">
          <cell r="C16"/>
          <cell r="D16"/>
          <cell r="E16"/>
          <cell r="F16"/>
        </row>
        <row r="17">
          <cell r="C17" t="str">
            <v>Códigos</v>
          </cell>
          <cell r="D17"/>
          <cell r="E17"/>
          <cell r="F17"/>
        </row>
        <row r="18">
          <cell r="C18">
            <v>8902125000</v>
          </cell>
          <cell r="D18" t="str">
            <v>Régua para medir tubo fino</v>
          </cell>
          <cell r="E18" t="str">
            <v>Unidade</v>
          </cell>
          <cell r="F18">
            <v>9.92</v>
          </cell>
        </row>
        <row r="19">
          <cell r="C19">
            <v>8902129000</v>
          </cell>
          <cell r="D19" t="str">
            <v>Régua para medir receptor 0 a 5</v>
          </cell>
          <cell r="E19" t="str">
            <v>Unidade</v>
          </cell>
          <cell r="F19">
            <v>17.920000000000002</v>
          </cell>
        </row>
        <row r="20">
          <cell r="C20">
            <v>120313</v>
          </cell>
          <cell r="D20" t="str">
            <v>Ferramenta para medir impressão</v>
          </cell>
          <cell r="E20" t="str">
            <v>Unidade</v>
          </cell>
          <cell r="F20">
            <v>63.13</v>
          </cell>
        </row>
        <row r="21">
          <cell r="C21">
            <v>118890</v>
          </cell>
          <cell r="D21" t="str">
            <v>Ferramenta Lite Tip</v>
          </cell>
          <cell r="E21" t="str">
            <v>Unidade</v>
          </cell>
          <cell r="F21">
            <v>12.51</v>
          </cell>
        </row>
        <row r="22">
          <cell r="C22">
            <v>8906023000</v>
          </cell>
          <cell r="D22" t="str">
            <v>Ferramenta para remoção do receptor</v>
          </cell>
          <cell r="E22" t="str">
            <v>Unidade</v>
          </cell>
          <cell r="F22">
            <v>8</v>
          </cell>
        </row>
        <row r="23">
          <cell r="C23">
            <v>8250123000</v>
          </cell>
          <cell r="D23" t="str">
            <v>FERRAMENTA PARA ADAPTADOR (Trimmer)</v>
          </cell>
          <cell r="E23" t="str">
            <v>Unidade</v>
          </cell>
          <cell r="F23">
            <v>8</v>
          </cell>
        </row>
        <row r="24">
          <cell r="C24">
            <v>8902227000</v>
          </cell>
          <cell r="D24" t="str">
            <v>Ferramenta para remoção do pino (chave vermelha)</v>
          </cell>
          <cell r="E24" t="str">
            <v>Unidade</v>
          </cell>
          <cell r="F24">
            <v>6</v>
          </cell>
        </row>
        <row r="25">
          <cell r="C25">
            <v>8250109203</v>
          </cell>
          <cell r="D25" t="str">
            <v>Ferramenta para limpeza de ventilação</v>
          </cell>
          <cell r="E25" t="str">
            <v>Unidade</v>
          </cell>
          <cell r="F25">
            <v>4.1500000000000004</v>
          </cell>
        </row>
        <row r="26">
          <cell r="C26">
            <v>8250121000</v>
          </cell>
          <cell r="D26" t="str">
            <v>Ferramenta para filtro de micro molde (empurrar)</v>
          </cell>
          <cell r="E26" t="str">
            <v>Unidade</v>
          </cell>
          <cell r="F26">
            <v>8.24</v>
          </cell>
        </row>
        <row r="27">
          <cell r="C27">
            <v>8250109800</v>
          </cell>
          <cell r="D27" t="str">
            <v>Ferramenta para micro molde (apertar)</v>
          </cell>
          <cell r="E27" t="str">
            <v>Unidade</v>
          </cell>
          <cell r="F27">
            <v>7.14</v>
          </cell>
        </row>
        <row r="28">
          <cell r="C28">
            <v>121563</v>
          </cell>
          <cell r="D28" t="str">
            <v>Ferramenta para limpeza de ventilação pequena</v>
          </cell>
          <cell r="E28" t="str">
            <v>Unidade</v>
          </cell>
          <cell r="F28">
            <v>12.25</v>
          </cell>
        </row>
        <row r="29">
          <cell r="C29">
            <v>8902177002</v>
          </cell>
          <cell r="D29" t="str">
            <v>Ferramenta para medir tamanho da ventilação</v>
          </cell>
          <cell r="E29" t="str">
            <v>Unidade</v>
          </cell>
          <cell r="F29">
            <v>10.29</v>
          </cell>
        </row>
        <row r="30">
          <cell r="C30">
            <v>143070</v>
          </cell>
          <cell r="D30" t="str">
            <v xml:space="preserve">Ferramenta para retirar Flex Power Mould </v>
          </cell>
          <cell r="E30" t="str">
            <v>Unidade</v>
          </cell>
          <cell r="F30">
            <v>12.52</v>
          </cell>
        </row>
        <row r="31">
          <cell r="C31" t="str">
            <v>Códigos</v>
          </cell>
          <cell r="D31" t="str">
            <v>Produtos</v>
          </cell>
          <cell r="E31" t="str">
            <v>Quantidade</v>
          </cell>
          <cell r="F31" t="str">
            <v xml:space="preserve">Valor </v>
          </cell>
        </row>
        <row r="32">
          <cell r="C32">
            <v>125718</v>
          </cell>
          <cell r="D32" t="str">
            <v>Caneta Earlite</v>
          </cell>
          <cell r="E32" t="str">
            <v>Unidade</v>
          </cell>
          <cell r="F32">
            <v>248.04</v>
          </cell>
        </row>
        <row r="33">
          <cell r="C33">
            <v>8900115808</v>
          </cell>
          <cell r="D33" t="str">
            <v>Ponta para caneta Earlite</v>
          </cell>
          <cell r="E33" t="str">
            <v>Unidade</v>
          </cell>
          <cell r="F33">
            <v>59.07</v>
          </cell>
        </row>
        <row r="34">
          <cell r="C34">
            <v>8900205102</v>
          </cell>
          <cell r="D34" t="str">
            <v>Lâmpada para caneta Earlite</v>
          </cell>
          <cell r="E34" t="str">
            <v>Unidade</v>
          </cell>
          <cell r="F34">
            <v>17.25</v>
          </cell>
        </row>
        <row r="35">
          <cell r="C35">
            <v>7825015004</v>
          </cell>
          <cell r="D35" t="str">
            <v>Material p/ impressão A- Zoft (B+C) (azul e branca)</v>
          </cell>
          <cell r="E35" t="str">
            <v>Unidade</v>
          </cell>
          <cell r="F35">
            <v>782.56</v>
          </cell>
        </row>
        <row r="36">
          <cell r="C36">
            <v>175547</v>
          </cell>
          <cell r="D36" t="str">
            <v>Material p/ impressão Dreve 544g (verde e branca)</v>
          </cell>
          <cell r="E36" t="str">
            <v>Unidade</v>
          </cell>
          <cell r="F36">
            <v>662.22</v>
          </cell>
        </row>
        <row r="37">
          <cell r="C37">
            <v>8900102709</v>
          </cell>
          <cell r="D37" t="str">
            <v>Seringa para molde</v>
          </cell>
          <cell r="E37" t="str">
            <v>Unidade</v>
          </cell>
          <cell r="F37">
            <v>181.98</v>
          </cell>
        </row>
        <row r="38">
          <cell r="C38">
            <v>8901020100</v>
          </cell>
          <cell r="D38" t="str">
            <v>Estetoclips</v>
          </cell>
          <cell r="E38" t="str">
            <v>Unidade</v>
          </cell>
          <cell r="F38">
            <v>32.200000000000003</v>
          </cell>
        </row>
        <row r="39">
          <cell r="C39">
            <v>8900105302</v>
          </cell>
          <cell r="D39" t="str">
            <v>Tubo para Estetoclips</v>
          </cell>
          <cell r="E39" t="str">
            <v>Unidade</v>
          </cell>
          <cell r="F39">
            <v>38</v>
          </cell>
        </row>
        <row r="40">
          <cell r="C40">
            <v>5730002008</v>
          </cell>
          <cell r="D40" t="str">
            <v>Adaptador para Estetoclips</v>
          </cell>
          <cell r="E40" t="str">
            <v>Unidade</v>
          </cell>
          <cell r="F40">
            <v>38.67</v>
          </cell>
        </row>
        <row r="41">
          <cell r="C41">
            <v>9002101709</v>
          </cell>
          <cell r="D41" t="str">
            <v>Pino Estetoclips</v>
          </cell>
          <cell r="E41" t="str">
            <v>Unidade</v>
          </cell>
          <cell r="F41">
            <v>28.75</v>
          </cell>
        </row>
        <row r="42">
          <cell r="C42">
            <v>5720101006</v>
          </cell>
          <cell r="D42" t="str">
            <v>Estetoclips completo</v>
          </cell>
          <cell r="E42" t="str">
            <v>Unidade</v>
          </cell>
          <cell r="F42">
            <v>177.1</v>
          </cell>
        </row>
        <row r="43">
          <cell r="C43">
            <v>93301009</v>
          </cell>
          <cell r="D43" t="str">
            <v>Tubinho de molde dobrado (2 mm)</v>
          </cell>
          <cell r="E43" t="str">
            <v>Unidade</v>
          </cell>
          <cell r="F43">
            <v>3.45</v>
          </cell>
        </row>
        <row r="44">
          <cell r="C44">
            <v>8243301301</v>
          </cell>
          <cell r="D44" t="str">
            <v>Pinça pequena</v>
          </cell>
          <cell r="E44" t="str">
            <v>Unidade</v>
          </cell>
          <cell r="F44">
            <v>219.55</v>
          </cell>
        </row>
        <row r="45">
          <cell r="C45" t="str">
            <v>Códigos</v>
          </cell>
          <cell r="D45" t="str">
            <v>Produtos</v>
          </cell>
          <cell r="E45" t="str">
            <v>Quantidade</v>
          </cell>
          <cell r="F45" t="str">
            <v xml:space="preserve">Valor </v>
          </cell>
        </row>
        <row r="46">
          <cell r="C46">
            <v>137859</v>
          </cell>
          <cell r="D46" t="str">
            <v>Cheer | Captivate (Adulto com filtro)</v>
          </cell>
          <cell r="E46" t="str">
            <v>Unidade</v>
          </cell>
          <cell r="F46">
            <v>11.5</v>
          </cell>
        </row>
        <row r="47">
          <cell r="C47">
            <v>137861</v>
          </cell>
          <cell r="D47" t="str">
            <v>Captivate (Pediátrico com filtro)</v>
          </cell>
          <cell r="E47" t="str">
            <v>Unidade</v>
          </cell>
          <cell r="F47">
            <v>11.5</v>
          </cell>
        </row>
        <row r="48">
          <cell r="C48">
            <v>135417</v>
          </cell>
          <cell r="D48" t="str">
            <v>Captivate (Adulto)</v>
          </cell>
          <cell r="E48" t="str">
            <v>Unidade</v>
          </cell>
          <cell r="F48">
            <v>11.5</v>
          </cell>
        </row>
        <row r="49">
          <cell r="C49">
            <v>137826</v>
          </cell>
          <cell r="D49" t="str">
            <v>Captivate (Pediátrico)</v>
          </cell>
          <cell r="E49" t="str">
            <v>Unidade</v>
          </cell>
          <cell r="F49">
            <v>11.5</v>
          </cell>
        </row>
        <row r="50">
          <cell r="C50">
            <v>209647</v>
          </cell>
          <cell r="D50" t="str">
            <v>Trek (Adulto com filtro)</v>
          </cell>
          <cell r="E50" t="str">
            <v>unidade</v>
          </cell>
          <cell r="F50">
            <v>11.5</v>
          </cell>
        </row>
        <row r="51">
          <cell r="C51">
            <v>209648</v>
          </cell>
          <cell r="D51" t="str">
            <v>Trek (Pediátrico com filtro)</v>
          </cell>
          <cell r="E51" t="str">
            <v>Unidade</v>
          </cell>
          <cell r="F51">
            <v>11.5</v>
          </cell>
        </row>
        <row r="52">
          <cell r="C52">
            <v>173685</v>
          </cell>
          <cell r="D52" t="str">
            <v>Trek (Adulto)</v>
          </cell>
          <cell r="E52" t="str">
            <v>Unidade</v>
          </cell>
          <cell r="F52">
            <v>11.5</v>
          </cell>
        </row>
        <row r="53">
          <cell r="C53">
            <v>173686</v>
          </cell>
          <cell r="D53" t="str">
            <v>Trek (Pediátrico)</v>
          </cell>
          <cell r="E53" t="str">
            <v>Unidade</v>
          </cell>
          <cell r="F53">
            <v>11.5</v>
          </cell>
        </row>
        <row r="54">
          <cell r="C54">
            <v>5710538000</v>
          </cell>
          <cell r="D54" t="str">
            <v>Cheer Nano</v>
          </cell>
          <cell r="E54" t="str">
            <v>Unidade</v>
          </cell>
          <cell r="F54">
            <v>11.5</v>
          </cell>
        </row>
        <row r="55">
          <cell r="C55">
            <v>5710113000</v>
          </cell>
          <cell r="D55" t="str">
            <v xml:space="preserve"> Pep 20</v>
          </cell>
          <cell r="E55" t="str">
            <v>10 peças</v>
          </cell>
          <cell r="F55">
            <v>66.680000000000007</v>
          </cell>
        </row>
        <row r="56">
          <cell r="C56">
            <v>5710114000</v>
          </cell>
          <cell r="D56" t="str">
            <v xml:space="preserve"> Journey</v>
          </cell>
          <cell r="E56" t="str">
            <v>Unidade</v>
          </cell>
          <cell r="F56">
            <v>11.5</v>
          </cell>
        </row>
        <row r="57">
          <cell r="C57"/>
          <cell r="D57"/>
          <cell r="E57"/>
          <cell r="F57"/>
        </row>
        <row r="58">
          <cell r="C58" t="str">
            <v>Código</v>
          </cell>
          <cell r="D58" t="str">
            <v>Produto</v>
          </cell>
          <cell r="E58" t="str">
            <v>Quantidade</v>
          </cell>
          <cell r="F58" t="str">
            <v xml:space="preserve">Valor	</v>
          </cell>
        </row>
        <row r="59">
          <cell r="C59">
            <v>156522</v>
          </cell>
          <cell r="D59" t="str">
            <v>Tubo Fino miniFit 0.9 0L</v>
          </cell>
          <cell r="E59" t="str">
            <v>Pacote com 5 peças do mesmo lado</v>
          </cell>
          <cell r="F59">
            <v>58</v>
          </cell>
        </row>
        <row r="60">
          <cell r="C60">
            <v>156526</v>
          </cell>
          <cell r="D60" t="str">
            <v>Tubo Fino miniFit 0.9 0R</v>
          </cell>
          <cell r="E60" t="str">
            <v>Pacote com 5 peças do mesmo lado</v>
          </cell>
          <cell r="F60"/>
        </row>
        <row r="61">
          <cell r="C61">
            <v>156523</v>
          </cell>
          <cell r="D61" t="str">
            <v>Tubo Fino miniFit 0.9 1L</v>
          </cell>
          <cell r="E61" t="str">
            <v>Pacote com 5 peças do mesmo lado</v>
          </cell>
          <cell r="F61"/>
        </row>
        <row r="62">
          <cell r="C62">
            <v>156527</v>
          </cell>
          <cell r="D62" t="str">
            <v>Tubo Fino miniFit 0.9 1R</v>
          </cell>
          <cell r="E62" t="str">
            <v>Pacote com 5 peças do mesmo lado</v>
          </cell>
          <cell r="F62"/>
        </row>
        <row r="63">
          <cell r="C63">
            <v>156524</v>
          </cell>
          <cell r="D63" t="str">
            <v>Tubo Fino miniFit 0.9 2L</v>
          </cell>
          <cell r="E63" t="str">
            <v>Pacote com 5 peças do mesmo lado</v>
          </cell>
          <cell r="F63"/>
        </row>
        <row r="64">
          <cell r="C64">
            <v>156528</v>
          </cell>
          <cell r="D64" t="str">
            <v>Tubo Fino miniFit 0.9 2R</v>
          </cell>
          <cell r="E64" t="str">
            <v>Pacote com 5 peças do mesmo lado</v>
          </cell>
          <cell r="F64"/>
        </row>
        <row r="65">
          <cell r="C65">
            <v>156525</v>
          </cell>
          <cell r="D65" t="str">
            <v>Tubo Fino miniFit 0.9 3L</v>
          </cell>
          <cell r="E65" t="str">
            <v>Pacote com 5 peças do mesmo lado</v>
          </cell>
          <cell r="F65"/>
        </row>
        <row r="66">
          <cell r="C66">
            <v>156529</v>
          </cell>
          <cell r="D66" t="str">
            <v>Tubo Fino miniFit 0.9 3R</v>
          </cell>
          <cell r="E66" t="str">
            <v>Pacote com 5 peças do mesmo lado</v>
          </cell>
          <cell r="F66"/>
        </row>
        <row r="67">
          <cell r="C67"/>
          <cell r="D67"/>
          <cell r="E67"/>
          <cell r="F67"/>
        </row>
        <row r="68">
          <cell r="C68">
            <v>156533</v>
          </cell>
          <cell r="D68" t="str">
            <v>Tubo Fino miniFit 1.3 0L</v>
          </cell>
          <cell r="E68" t="str">
            <v>Pacote com 5 peças do mesmo lado</v>
          </cell>
          <cell r="F68"/>
        </row>
        <row r="69">
          <cell r="C69">
            <v>156537</v>
          </cell>
          <cell r="D69" t="str">
            <v>Tubo Fino miniFit 1.3 0R</v>
          </cell>
          <cell r="E69" t="str">
            <v>Pacote com 5 peças do mesmo lado</v>
          </cell>
          <cell r="F69"/>
        </row>
        <row r="70">
          <cell r="C70">
            <v>156534</v>
          </cell>
          <cell r="D70" t="str">
            <v>Tubo Fino miniFit 1.3 1L</v>
          </cell>
          <cell r="E70" t="str">
            <v>Pacote com 5 peças do mesmo lado</v>
          </cell>
          <cell r="F70"/>
        </row>
        <row r="71">
          <cell r="C71">
            <v>156538</v>
          </cell>
          <cell r="D71" t="str">
            <v>Tubo Fino miniFit 1.3 1R</v>
          </cell>
          <cell r="E71" t="str">
            <v>Pacote com 5 peças do mesmo lado</v>
          </cell>
          <cell r="F71"/>
        </row>
        <row r="72">
          <cell r="C72">
            <v>156535</v>
          </cell>
          <cell r="D72" t="str">
            <v>Tubo Fino miniFit 1.3 2L</v>
          </cell>
          <cell r="E72" t="str">
            <v>Pacote com 5 peças do mesmo lado</v>
          </cell>
          <cell r="F72"/>
        </row>
        <row r="73">
          <cell r="C73">
            <v>156539</v>
          </cell>
          <cell r="D73" t="str">
            <v>Tubo Fino miniFit 1.3 2R</v>
          </cell>
          <cell r="E73" t="str">
            <v>Pacote com 5 peças do mesmo lado</v>
          </cell>
          <cell r="F73"/>
        </row>
        <row r="74">
          <cell r="C74">
            <v>156536</v>
          </cell>
          <cell r="D74" t="str">
            <v>Tubo Fino miniFit 1.3 3L</v>
          </cell>
          <cell r="E74" t="str">
            <v>Pacote com 5 peças do mesmo lado</v>
          </cell>
          <cell r="F74"/>
        </row>
        <row r="75">
          <cell r="C75">
            <v>156540</v>
          </cell>
          <cell r="D75" t="str">
            <v>Tubo Fino miniFit 1.3 3R</v>
          </cell>
          <cell r="E75" t="str">
            <v>Pacote com 5 peças do mesmo lado</v>
          </cell>
          <cell r="F75"/>
        </row>
        <row r="76">
          <cell r="C76"/>
          <cell r="D76"/>
          <cell r="E76"/>
          <cell r="F76"/>
        </row>
        <row r="77">
          <cell r="C77"/>
          <cell r="D77"/>
          <cell r="E77"/>
          <cell r="F77"/>
        </row>
        <row r="78">
          <cell r="C78" t="str">
            <v>Código</v>
          </cell>
          <cell r="D78" t="str">
            <v>Produto</v>
          </cell>
          <cell r="E78" t="str">
            <v>Quantidade</v>
          </cell>
          <cell r="F78" t="str">
            <v>Valor</v>
          </cell>
        </row>
        <row r="79">
          <cell r="C79">
            <v>149272</v>
          </cell>
          <cell r="D79" t="str">
            <v>Recep. 60 miniFit 1L</v>
          </cell>
          <cell r="E79" t="str">
            <v>Unidade</v>
          </cell>
          <cell r="F79">
            <v>170</v>
          </cell>
        </row>
        <row r="80">
          <cell r="C80">
            <v>149271</v>
          </cell>
          <cell r="D80" t="str">
            <v>Recep. 60 miniFit 1R</v>
          </cell>
          <cell r="E80" t="str">
            <v>Unidade</v>
          </cell>
          <cell r="F80"/>
        </row>
        <row r="81">
          <cell r="C81">
            <v>149274</v>
          </cell>
          <cell r="D81" t="str">
            <v>Recep. 60 miniFit 2L</v>
          </cell>
          <cell r="E81" t="str">
            <v>Unidade</v>
          </cell>
          <cell r="F81"/>
        </row>
        <row r="82">
          <cell r="C82">
            <v>149273</v>
          </cell>
          <cell r="D82" t="str">
            <v>Recep. 60 miniFit 2R</v>
          </cell>
          <cell r="E82" t="str">
            <v>Unidade</v>
          </cell>
          <cell r="F82"/>
        </row>
        <row r="83">
          <cell r="C83">
            <v>149276</v>
          </cell>
          <cell r="D83" t="str">
            <v>Recep. 60 miniFit 3L</v>
          </cell>
          <cell r="E83" t="str">
            <v>Unidade</v>
          </cell>
          <cell r="F83"/>
        </row>
        <row r="84">
          <cell r="C84">
            <v>149275</v>
          </cell>
          <cell r="D84" t="str">
            <v>Recep. 60 miniFit 3R</v>
          </cell>
          <cell r="E84" t="str">
            <v>Unidade</v>
          </cell>
          <cell r="F84"/>
        </row>
        <row r="85">
          <cell r="C85">
            <v>149278</v>
          </cell>
          <cell r="D85" t="str">
            <v>Recep. 60 miniFit 4L</v>
          </cell>
          <cell r="E85" t="str">
            <v>Unidade</v>
          </cell>
          <cell r="F85"/>
        </row>
        <row r="86">
          <cell r="C86">
            <v>149277</v>
          </cell>
          <cell r="D86" t="str">
            <v>Recep. 60 miniFit 4R</v>
          </cell>
          <cell r="E86" t="str">
            <v>Unidade</v>
          </cell>
          <cell r="F86"/>
        </row>
        <row r="87">
          <cell r="C87"/>
          <cell r="D87"/>
          <cell r="E87"/>
          <cell r="F87"/>
        </row>
        <row r="88">
          <cell r="C88">
            <v>149279</v>
          </cell>
          <cell r="D88" t="str">
            <v>Recep. 85 miniFit 1L</v>
          </cell>
          <cell r="E88" t="str">
            <v>Unidade</v>
          </cell>
          <cell r="F88"/>
        </row>
        <row r="89">
          <cell r="C89">
            <v>149280</v>
          </cell>
          <cell r="D89" t="str">
            <v>Recep. 85 miniFit 1R</v>
          </cell>
          <cell r="E89" t="str">
            <v>Unidade</v>
          </cell>
          <cell r="F89"/>
        </row>
        <row r="90">
          <cell r="C90">
            <v>149281</v>
          </cell>
          <cell r="D90" t="str">
            <v>Recep. 85 miniFit 2L</v>
          </cell>
          <cell r="E90" t="str">
            <v>Unidade</v>
          </cell>
          <cell r="F90"/>
        </row>
        <row r="91">
          <cell r="C91">
            <v>149282</v>
          </cell>
          <cell r="D91" t="str">
            <v>Recep. 85 miniFit 2R</v>
          </cell>
          <cell r="E91" t="str">
            <v>Unidade</v>
          </cell>
          <cell r="F91"/>
        </row>
        <row r="92">
          <cell r="C92">
            <v>149283</v>
          </cell>
          <cell r="D92" t="str">
            <v>Recep. 85 miniFit 3L</v>
          </cell>
          <cell r="E92" t="str">
            <v>Unidade</v>
          </cell>
          <cell r="F92"/>
        </row>
        <row r="93">
          <cell r="C93">
            <v>149284</v>
          </cell>
          <cell r="D93" t="str">
            <v>Recep. 85 miniFit 3R</v>
          </cell>
          <cell r="E93" t="str">
            <v>Unidade</v>
          </cell>
          <cell r="F93"/>
        </row>
        <row r="94">
          <cell r="C94">
            <v>149285</v>
          </cell>
          <cell r="D94" t="str">
            <v>Recep. 85 miniFit 4L</v>
          </cell>
          <cell r="E94" t="str">
            <v>Unidade</v>
          </cell>
          <cell r="F94"/>
        </row>
        <row r="95">
          <cell r="C95">
            <v>149286</v>
          </cell>
          <cell r="D95" t="str">
            <v>Recep. 85 miniFit 4R</v>
          </cell>
          <cell r="E95" t="str">
            <v>Unidade</v>
          </cell>
          <cell r="F95"/>
        </row>
        <row r="96">
          <cell r="C96"/>
          <cell r="D96"/>
          <cell r="E96"/>
          <cell r="F96"/>
        </row>
        <row r="97">
          <cell r="C97">
            <v>149287</v>
          </cell>
          <cell r="D97" t="str">
            <v>Recep. 100 miniFit 1L</v>
          </cell>
          <cell r="E97" t="str">
            <v>Unidade</v>
          </cell>
          <cell r="F97"/>
        </row>
        <row r="98">
          <cell r="C98">
            <v>149288</v>
          </cell>
          <cell r="D98" t="str">
            <v>Recep. 100 miniFit 1R</v>
          </cell>
          <cell r="E98" t="str">
            <v>Unidade</v>
          </cell>
          <cell r="F98"/>
        </row>
        <row r="99">
          <cell r="C99">
            <v>149289</v>
          </cell>
          <cell r="D99" t="str">
            <v>Recep. 100 miniFit 2L</v>
          </cell>
          <cell r="E99" t="str">
            <v>Unidade</v>
          </cell>
          <cell r="F99"/>
        </row>
        <row r="100">
          <cell r="C100">
            <v>149290</v>
          </cell>
          <cell r="D100" t="str">
            <v>Recep. 100 miniFit 2R</v>
          </cell>
          <cell r="E100" t="str">
            <v>Unidade</v>
          </cell>
          <cell r="F100"/>
        </row>
        <row r="101">
          <cell r="C101">
            <v>149291</v>
          </cell>
          <cell r="D101" t="str">
            <v>Recep. 100 miniFit 3L</v>
          </cell>
          <cell r="E101" t="str">
            <v>Unidade</v>
          </cell>
          <cell r="F101"/>
        </row>
        <row r="102">
          <cell r="C102">
            <v>149292</v>
          </cell>
          <cell r="D102" t="str">
            <v>Recep. 100 miniFit 3R</v>
          </cell>
          <cell r="E102" t="str">
            <v>Unidade</v>
          </cell>
          <cell r="F102"/>
        </row>
        <row r="103">
          <cell r="C103">
            <v>149293</v>
          </cell>
          <cell r="D103" t="str">
            <v>Recep. 100 miniFit 4L</v>
          </cell>
          <cell r="E103" t="str">
            <v>Unidade</v>
          </cell>
          <cell r="F103"/>
        </row>
        <row r="104">
          <cell r="C104">
            <v>149294</v>
          </cell>
          <cell r="D104" t="str">
            <v>Recep. 100 miniFit 4R</v>
          </cell>
          <cell r="E104" t="str">
            <v>Unidade</v>
          </cell>
          <cell r="F104"/>
        </row>
        <row r="105">
          <cell r="C105"/>
          <cell r="D105"/>
          <cell r="E105"/>
          <cell r="F105"/>
        </row>
        <row r="106">
          <cell r="C106" t="str">
            <v>CODIGO</v>
          </cell>
          <cell r="D106" t="str">
            <v>Produto</v>
          </cell>
          <cell r="E106" t="str">
            <v>Quantidade</v>
          </cell>
          <cell r="F106" t="str">
            <v>Valor</v>
          </cell>
        </row>
        <row r="107">
          <cell r="C107">
            <v>218359</v>
          </cell>
          <cell r="D107" t="str">
            <v xml:space="preserve">Domo OpenBass 5mm (aberto) - receptor de 60dB </v>
          </cell>
          <cell r="E107" t="str">
            <v>Pacote com 10 peças iguais</v>
          </cell>
          <cell r="F107">
            <v>50</v>
          </cell>
        </row>
        <row r="108">
          <cell r="C108">
            <v>218364</v>
          </cell>
          <cell r="D108" t="str">
            <v xml:space="preserve">Domo OpenBass 6mm (aberto) </v>
          </cell>
          <cell r="E108" t="str">
            <v>Pacote com 10 peças iguais</v>
          </cell>
          <cell r="F108"/>
        </row>
        <row r="109">
          <cell r="C109">
            <v>218368</v>
          </cell>
          <cell r="D109" t="str">
            <v xml:space="preserve">Domo OpenBass 8mm (aberto) </v>
          </cell>
          <cell r="E109" t="str">
            <v>Pacote com 10 peças iguais</v>
          </cell>
          <cell r="F109"/>
        </row>
        <row r="110">
          <cell r="C110">
            <v>218373</v>
          </cell>
          <cell r="D110" t="str">
            <v xml:space="preserve">Domo OpenBass 10mm (aberto) </v>
          </cell>
          <cell r="E110" t="str">
            <v>Pacote com 10 peças iguais</v>
          </cell>
          <cell r="F110"/>
        </row>
        <row r="111">
          <cell r="C111">
            <v>218377</v>
          </cell>
          <cell r="D111" t="str">
            <v xml:space="preserve">Domo OpenBass 12mm (aberto) </v>
          </cell>
          <cell r="E111" t="str">
            <v>Pacote com 10 peças iguais</v>
          </cell>
          <cell r="F111"/>
        </row>
        <row r="112">
          <cell r="C112"/>
          <cell r="D112"/>
          <cell r="E112"/>
          <cell r="F112"/>
        </row>
        <row r="113">
          <cell r="C113">
            <v>173494</v>
          </cell>
          <cell r="D113" t="str">
            <v>Domo Aberto 5 mm</v>
          </cell>
          <cell r="E113" t="str">
            <v>Pacote com 10 peças iguais</v>
          </cell>
          <cell r="F113"/>
        </row>
        <row r="114">
          <cell r="C114">
            <v>149303</v>
          </cell>
          <cell r="D114" t="str">
            <v>Domo Aberto 6 mm</v>
          </cell>
          <cell r="E114" t="str">
            <v>Pacote com 10 peças iguais</v>
          </cell>
          <cell r="F114"/>
        </row>
        <row r="115">
          <cell r="C115">
            <v>149304</v>
          </cell>
          <cell r="D115" t="str">
            <v>Domo Aberto 8 mm</v>
          </cell>
          <cell r="E115" t="str">
            <v>Pacote com 10 peças iguais</v>
          </cell>
          <cell r="F115"/>
        </row>
        <row r="116">
          <cell r="C116">
            <v>149305</v>
          </cell>
          <cell r="D116" t="str">
            <v>Domo Aberto 10 mm</v>
          </cell>
          <cell r="E116" t="str">
            <v>Pacote com 10 peças iguais</v>
          </cell>
          <cell r="F116"/>
        </row>
        <row r="117">
          <cell r="C117"/>
          <cell r="D117"/>
          <cell r="E117"/>
          <cell r="F117"/>
        </row>
        <row r="118">
          <cell r="C118">
            <v>149306</v>
          </cell>
          <cell r="D118" t="str">
            <v>Domo Bass Double (duplo) 6mm</v>
          </cell>
          <cell r="E118" t="str">
            <v>Pacote com 10 peças iguais</v>
          </cell>
          <cell r="F118"/>
        </row>
        <row r="119">
          <cell r="C119">
            <v>149307</v>
          </cell>
          <cell r="D119" t="str">
            <v>Domo Bass Double (duplo) 8mm</v>
          </cell>
          <cell r="E119" t="str">
            <v>Pacote com 10 peças iguais</v>
          </cell>
          <cell r="F119"/>
        </row>
        <row r="120">
          <cell r="C120">
            <v>149308</v>
          </cell>
          <cell r="D120" t="str">
            <v>Domo Bass Double (duplo) 10mm</v>
          </cell>
          <cell r="E120" t="str">
            <v>Pacote com 10 peças iguais</v>
          </cell>
          <cell r="F120"/>
        </row>
        <row r="121">
          <cell r="C121">
            <v>149309</v>
          </cell>
          <cell r="D121" t="str">
            <v>Domo Bass Double (duplo) 12mm</v>
          </cell>
          <cell r="E121" t="str">
            <v>Pacote com 10 peças iguais</v>
          </cell>
          <cell r="F121"/>
        </row>
        <row r="122">
          <cell r="C122"/>
          <cell r="D122"/>
          <cell r="E122"/>
          <cell r="F122"/>
        </row>
        <row r="123">
          <cell r="C123">
            <v>149310</v>
          </cell>
          <cell r="D123" t="str">
            <v>Domo Bass Single (único) 6mm</v>
          </cell>
          <cell r="E123" t="str">
            <v>Pacote com 10 peças iguais</v>
          </cell>
          <cell r="F123"/>
        </row>
        <row r="124">
          <cell r="C124">
            <v>149311</v>
          </cell>
          <cell r="D124" t="str">
            <v>Domo Bass Single (único) 8mm</v>
          </cell>
          <cell r="E124" t="str">
            <v>Pacote com 10 peças iguais</v>
          </cell>
          <cell r="F124"/>
        </row>
        <row r="125">
          <cell r="C125">
            <v>149312</v>
          </cell>
          <cell r="D125" t="str">
            <v>Domo Bass Single (único) 10mm</v>
          </cell>
          <cell r="E125" t="str">
            <v>Pacote com 10 peças iguais</v>
          </cell>
          <cell r="F125"/>
        </row>
        <row r="126">
          <cell r="C126">
            <v>149313</v>
          </cell>
          <cell r="D126" t="str">
            <v>Domo Bass Single (único) 12mm</v>
          </cell>
          <cell r="E126" t="str">
            <v>Pacote com 10 peças iguais</v>
          </cell>
          <cell r="F126"/>
        </row>
        <row r="127">
          <cell r="C127"/>
          <cell r="D127"/>
          <cell r="E127"/>
          <cell r="F127"/>
        </row>
        <row r="128">
          <cell r="C128">
            <v>149314</v>
          </cell>
          <cell r="D128" t="str">
            <v>Domo Power 6mm</v>
          </cell>
          <cell r="E128" t="str">
            <v>Pacote com 10 peças iguais</v>
          </cell>
          <cell r="F128"/>
        </row>
        <row r="129">
          <cell r="C129">
            <v>149315</v>
          </cell>
          <cell r="D129" t="str">
            <v>Domo Power 8mm</v>
          </cell>
          <cell r="E129" t="str">
            <v>Pacote com 10 peças iguais</v>
          </cell>
          <cell r="F129"/>
        </row>
        <row r="130">
          <cell r="C130">
            <v>149316</v>
          </cell>
          <cell r="D130" t="str">
            <v>Domo Power 10mm</v>
          </cell>
          <cell r="E130" t="str">
            <v>Pacote com 10 peças iguais</v>
          </cell>
          <cell r="F130"/>
        </row>
        <row r="131">
          <cell r="C131">
            <v>149317</v>
          </cell>
          <cell r="D131" t="str">
            <v>Domo Power 12mm</v>
          </cell>
          <cell r="E131" t="str">
            <v>Pacote com 10 peças iguais</v>
          </cell>
          <cell r="F131"/>
        </row>
        <row r="132">
          <cell r="C132">
            <v>5892510000</v>
          </cell>
          <cell r="D132" t="str">
            <v>Adaptadores Domo Plus (Tulipa)</v>
          </cell>
          <cell r="E132" t="str">
            <v>Pacote com 10 peças iguais</v>
          </cell>
          <cell r="F132"/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A654-2C66-4DFE-8D76-97A3D64B977D}">
  <dimension ref="B1:H40"/>
  <sheetViews>
    <sheetView showGridLines="0" tabSelected="1" zoomScale="96" zoomScaleNormal="96" workbookViewId="0">
      <selection activeCell="C9" sqref="C9:D9"/>
    </sheetView>
  </sheetViews>
  <sheetFormatPr defaultRowHeight="15" x14ac:dyDescent="0.25"/>
  <cols>
    <col min="1" max="1" width="0.85546875" customWidth="1"/>
    <col min="2" max="2" width="23.28515625" bestFit="1" customWidth="1"/>
    <col min="3" max="3" width="44.140625" style="24" bestFit="1" customWidth="1"/>
    <col min="4" max="4" width="17.140625" style="2" customWidth="1"/>
    <col min="5" max="5" width="17.85546875" customWidth="1"/>
    <col min="6" max="6" width="37.7109375" customWidth="1"/>
    <col min="7" max="7" width="10.7109375" bestFit="1" customWidth="1"/>
    <col min="8" max="8" width="41.5703125" bestFit="1" customWidth="1"/>
    <col min="9" max="9" width="8.85546875" customWidth="1"/>
    <col min="10" max="10" width="11.42578125" bestFit="1" customWidth="1"/>
  </cols>
  <sheetData>
    <row r="1" spans="2:8" x14ac:dyDescent="0.25">
      <c r="B1" s="53" t="s">
        <v>207</v>
      </c>
      <c r="C1" s="54"/>
      <c r="D1" s="54"/>
      <c r="E1" s="54"/>
      <c r="F1" s="54"/>
    </row>
    <row r="2" spans="2:8" ht="18.75" x14ac:dyDescent="0.3">
      <c r="B2" s="53"/>
      <c r="C2" s="54"/>
      <c r="D2" s="54"/>
      <c r="E2" s="54"/>
      <c r="F2" s="54"/>
      <c r="H2" s="43" t="s">
        <v>231</v>
      </c>
    </row>
    <row r="3" spans="2:8" x14ac:dyDescent="0.25">
      <c r="B3" s="4" t="s">
        <v>5</v>
      </c>
      <c r="C3" s="55">
        <v>903075</v>
      </c>
      <c r="D3" s="56"/>
      <c r="E3" s="45" t="s">
        <v>233</v>
      </c>
      <c r="F3" s="29" t="s">
        <v>246</v>
      </c>
    </row>
    <row r="4" spans="2:8" x14ac:dyDescent="0.25">
      <c r="B4" s="4" t="s">
        <v>6</v>
      </c>
      <c r="C4" s="57" t="s">
        <v>239</v>
      </c>
      <c r="D4" s="58"/>
      <c r="E4" s="45" t="s">
        <v>208</v>
      </c>
      <c r="F4" s="47" t="s">
        <v>240</v>
      </c>
    </row>
    <row r="5" spans="2:8" x14ac:dyDescent="0.25">
      <c r="B5" s="5" t="s">
        <v>232</v>
      </c>
      <c r="C5" s="57" t="s">
        <v>238</v>
      </c>
      <c r="D5" s="65"/>
      <c r="E5" s="45"/>
      <c r="F5" s="29"/>
      <c r="G5" s="44"/>
    </row>
    <row r="6" spans="2:8" ht="78.75" customHeight="1" x14ac:dyDescent="0.25">
      <c r="B6" s="5" t="s">
        <v>234</v>
      </c>
      <c r="C6" s="66" t="s">
        <v>244</v>
      </c>
      <c r="D6" s="67"/>
      <c r="E6" s="48" t="s">
        <v>236</v>
      </c>
      <c r="F6" s="49" t="s">
        <v>242</v>
      </c>
    </row>
    <row r="7" spans="2:8" x14ac:dyDescent="0.25">
      <c r="B7" s="4" t="s">
        <v>235</v>
      </c>
      <c r="C7" s="58" t="s">
        <v>247</v>
      </c>
      <c r="D7" s="65"/>
      <c r="E7" s="45" t="s">
        <v>237</v>
      </c>
      <c r="F7" s="27" t="s">
        <v>243</v>
      </c>
    </row>
    <row r="8" spans="2:8" x14ac:dyDescent="0.25">
      <c r="B8" s="4" t="s">
        <v>205</v>
      </c>
      <c r="C8" s="68" t="s">
        <v>184</v>
      </c>
      <c r="D8" s="69"/>
      <c r="E8" s="45" t="s">
        <v>241</v>
      </c>
      <c r="F8" s="28" t="s">
        <v>184</v>
      </c>
    </row>
    <row r="9" spans="2:8" x14ac:dyDescent="0.25">
      <c r="B9" s="4" t="s">
        <v>206</v>
      </c>
      <c r="C9" s="68" t="str">
        <f>VLOOKUP(C8,Sheet1!G:H,2,FALSE)</f>
        <v>009</v>
      </c>
      <c r="D9" s="69"/>
      <c r="E9" s="45"/>
      <c r="F9" s="28"/>
      <c r="H9" s="50"/>
    </row>
    <row r="10" spans="2:8" x14ac:dyDescent="0.25">
      <c r="B10" s="4" t="s">
        <v>8</v>
      </c>
      <c r="C10" s="62" t="s">
        <v>7</v>
      </c>
      <c r="D10" s="62"/>
      <c r="E10" s="45"/>
      <c r="F10" s="46"/>
      <c r="H10" s="50"/>
    </row>
    <row r="11" spans="2:8" x14ac:dyDescent="0.25">
      <c r="B11" s="63" t="s">
        <v>214</v>
      </c>
      <c r="C11" s="64"/>
      <c r="D11" s="64"/>
      <c r="E11" s="64"/>
      <c r="F11" s="64"/>
    </row>
    <row r="12" spans="2:8" x14ac:dyDescent="0.25">
      <c r="B12" s="6" t="s">
        <v>1</v>
      </c>
      <c r="C12" s="22" t="s">
        <v>0</v>
      </c>
      <c r="D12" s="6" t="s">
        <v>2</v>
      </c>
      <c r="E12" s="7" t="s">
        <v>3</v>
      </c>
      <c r="F12" s="7" t="s">
        <v>4</v>
      </c>
    </row>
    <row r="13" spans="2:8" x14ac:dyDescent="0.25">
      <c r="B13" s="41">
        <f>IFERROR(VLOOKUP(C13,Sheet1!B:C,2,FALSE), )</f>
        <v>240470</v>
      </c>
      <c r="C13" s="23" t="s">
        <v>90</v>
      </c>
      <c r="D13" s="3">
        <v>2</v>
      </c>
      <c r="E13" s="42">
        <v>1100</v>
      </c>
      <c r="F13" s="42">
        <f t="shared" ref="F13:F16" si="0">E13*D13</f>
        <v>2200</v>
      </c>
    </row>
    <row r="14" spans="2:8" x14ac:dyDescent="0.25">
      <c r="B14" s="41">
        <f>IFERROR(VLOOKUP(C14,Sheet1!B:C,2,FALSE), )</f>
        <v>225683</v>
      </c>
      <c r="C14" s="23" t="s">
        <v>33</v>
      </c>
      <c r="D14" s="3">
        <v>1</v>
      </c>
      <c r="E14" s="42">
        <v>700</v>
      </c>
      <c r="F14" s="42">
        <f t="shared" si="0"/>
        <v>700</v>
      </c>
    </row>
    <row r="15" spans="2:8" x14ac:dyDescent="0.25">
      <c r="B15" s="41">
        <f>IFERROR(VLOOKUP(C15,Sheet1!B:C,2,FALSE), )</f>
        <v>0</v>
      </c>
      <c r="C15" s="23"/>
      <c r="D15" s="3"/>
      <c r="E15" s="42">
        <f>IFERROR(VLOOKUP(C15,Sheet1!B:D,3,FALSE),0)</f>
        <v>0</v>
      </c>
      <c r="F15" s="42">
        <f t="shared" si="0"/>
        <v>0</v>
      </c>
    </row>
    <row r="16" spans="2:8" x14ac:dyDescent="0.25">
      <c r="B16" s="41">
        <f>IFERROR(VLOOKUP(C16,Sheet1!B:C,2,FALSE), )</f>
        <v>0</v>
      </c>
      <c r="C16" s="23"/>
      <c r="D16" s="3"/>
      <c r="E16" s="42">
        <f>IFERROR(VLOOKUP(C16,Sheet1!B:D,3,FALSE),0)</f>
        <v>0</v>
      </c>
      <c r="F16" s="42">
        <f t="shared" si="0"/>
        <v>0</v>
      </c>
    </row>
    <row r="17" spans="2:8" x14ac:dyDescent="0.25">
      <c r="B17" s="41">
        <f>IFERROR(VLOOKUP(C17,Sheet1!B:C,2,FALSE), )</f>
        <v>0</v>
      </c>
      <c r="C17" s="23"/>
      <c r="D17" s="3"/>
      <c r="E17" s="42">
        <f>IFERROR(VLOOKUP(C17,Sheet1!B:D,3,FALSE),0)</f>
        <v>0</v>
      </c>
      <c r="F17" s="42">
        <f t="shared" ref="F17:F22" si="1">E17*D17</f>
        <v>0</v>
      </c>
    </row>
    <row r="18" spans="2:8" x14ac:dyDescent="0.25">
      <c r="B18" s="41">
        <f>IFERROR(VLOOKUP(C18,Sheet1!B:C,2,FALSE), )</f>
        <v>0</v>
      </c>
      <c r="C18" s="23"/>
      <c r="D18" s="3"/>
      <c r="E18" s="42">
        <f>IFERROR(VLOOKUP(C18,Sheet1!B:D,3,FALSE),0)</f>
        <v>0</v>
      </c>
      <c r="F18" s="42">
        <f t="shared" si="1"/>
        <v>0</v>
      </c>
    </row>
    <row r="19" spans="2:8" x14ac:dyDescent="0.25">
      <c r="B19" s="41">
        <f>IFERROR(VLOOKUP(C19,Sheet1!B:C,2,FALSE), )</f>
        <v>0</v>
      </c>
      <c r="C19" s="23"/>
      <c r="D19" s="3"/>
      <c r="E19" s="42">
        <f>IFERROR(VLOOKUP(C19,Sheet1!B:D,3,FALSE),0)</f>
        <v>0</v>
      </c>
      <c r="F19" s="42">
        <f t="shared" si="1"/>
        <v>0</v>
      </c>
    </row>
    <row r="20" spans="2:8" x14ac:dyDescent="0.25">
      <c r="B20" s="41">
        <f>IFERROR(VLOOKUP(C20,Sheet1!B:C,2,FALSE), )</f>
        <v>0</v>
      </c>
      <c r="C20" s="23"/>
      <c r="D20" s="3"/>
      <c r="E20" s="42">
        <f>IFERROR(VLOOKUP(C20,Sheet1!B:D,3,FALSE),0)</f>
        <v>0</v>
      </c>
      <c r="F20" s="42">
        <f t="shared" si="1"/>
        <v>0</v>
      </c>
    </row>
    <row r="21" spans="2:8" hidden="1" x14ac:dyDescent="0.25">
      <c r="B21" s="41">
        <f>IFERROR(VLOOKUP(C21,Sheet1!B:C,2,FALSE), )</f>
        <v>0</v>
      </c>
      <c r="C21" s="23"/>
      <c r="D21" s="3"/>
      <c r="E21" s="42">
        <f>IFERROR(VLOOKUP(C21,Sheet1!B:D,3,FALSE),0)</f>
        <v>0</v>
      </c>
      <c r="F21" s="42">
        <f t="shared" si="1"/>
        <v>0</v>
      </c>
    </row>
    <row r="22" spans="2:8" hidden="1" x14ac:dyDescent="0.25">
      <c r="B22" s="41">
        <f>IFERROR(VLOOKUP(C22,Sheet1!B:C,2,FALSE), )</f>
        <v>0</v>
      </c>
      <c r="C22" s="23"/>
      <c r="D22" s="3"/>
      <c r="E22" s="42">
        <f>IFERROR(VLOOKUP(C22,Sheet1!B:D,3,FALSE),0)</f>
        <v>0</v>
      </c>
      <c r="F22" s="42">
        <f t="shared" si="1"/>
        <v>0</v>
      </c>
    </row>
    <row r="23" spans="2:8" hidden="1" x14ac:dyDescent="0.25">
      <c r="B23" s="41">
        <f>IFERROR(VLOOKUP(C23,Sheet1!B:C,2,FALSE), )</f>
        <v>0</v>
      </c>
      <c r="C23" s="23"/>
      <c r="D23" s="3"/>
      <c r="E23" s="42">
        <f>IFERROR(VLOOKUP(C23,Sheet1!B:D,3,FALSE),0)</f>
        <v>0</v>
      </c>
      <c r="F23" s="42">
        <f t="shared" ref="F23:F25" si="2">E23*D23</f>
        <v>0</v>
      </c>
    </row>
    <row r="24" spans="2:8" hidden="1" x14ac:dyDescent="0.25">
      <c r="B24" s="41">
        <f>IFERROR(VLOOKUP(C24,Sheet1!B:C,2,FALSE), )</f>
        <v>0</v>
      </c>
      <c r="C24" s="23"/>
      <c r="D24" s="3"/>
      <c r="E24" s="42">
        <f>IFERROR(VLOOKUP(C24,Sheet1!B:D,3,FALSE),0)</f>
        <v>0</v>
      </c>
      <c r="F24" s="42">
        <f t="shared" si="2"/>
        <v>0</v>
      </c>
    </row>
    <row r="25" spans="2:8" hidden="1" x14ac:dyDescent="0.25">
      <c r="B25" s="41">
        <f>IFERROR(VLOOKUP(C25,Sheet1!B:C,2,FALSE), )</f>
        <v>0</v>
      </c>
      <c r="C25" s="23"/>
      <c r="D25" s="3"/>
      <c r="E25" s="42">
        <f>IFERROR(VLOOKUP(C25,Sheet1!B:D,3,FALSE),0)</f>
        <v>0</v>
      </c>
      <c r="F25" s="42">
        <f t="shared" si="2"/>
        <v>0</v>
      </c>
    </row>
    <row r="26" spans="2:8" hidden="1" x14ac:dyDescent="0.25">
      <c r="B26" s="41">
        <f>IFERROR(VLOOKUP(C26,Sheet1!B:C,2,FALSE), )</f>
        <v>0</v>
      </c>
      <c r="C26" s="23"/>
      <c r="D26" s="3"/>
      <c r="E26" s="42">
        <f>IFERROR(VLOOKUP(C26,Sheet1!B:D,3,FALSE),0)</f>
        <v>0</v>
      </c>
      <c r="F26" s="42">
        <f t="shared" ref="F26:F27" si="3">E26*D26</f>
        <v>0</v>
      </c>
    </row>
    <row r="27" spans="2:8" hidden="1" x14ac:dyDescent="0.25">
      <c r="B27" s="41">
        <f>IFERROR(VLOOKUP(C27,Sheet1!B:C,2,FALSE), )</f>
        <v>0</v>
      </c>
      <c r="C27" s="23"/>
      <c r="D27" s="3"/>
      <c r="E27" s="42">
        <f>IFERROR(VLOOKUP(C27,Sheet1!B:D,3,FALSE),0)</f>
        <v>0</v>
      </c>
      <c r="F27" s="42">
        <f t="shared" si="3"/>
        <v>0</v>
      </c>
    </row>
    <row r="28" spans="2:8" hidden="1" x14ac:dyDescent="0.25">
      <c r="B28" s="41">
        <f>IFERROR(VLOOKUP(C28,Sheet1!B:C,2,FALSE), )</f>
        <v>0</v>
      </c>
      <c r="C28" s="23"/>
      <c r="D28" s="3"/>
      <c r="E28" s="42">
        <f>IFERROR(VLOOKUP(C28,Sheet1!B:D,3,FALSE)*0,0)</f>
        <v>0</v>
      </c>
      <c r="F28" s="42">
        <f t="shared" ref="F28" si="4">E28*D28</f>
        <v>0</v>
      </c>
    </row>
    <row r="29" spans="2:8" x14ac:dyDescent="0.25">
      <c r="B29" s="59"/>
      <c r="C29" s="60"/>
      <c r="D29" s="61"/>
      <c r="E29" s="8" t="s">
        <v>9</v>
      </c>
      <c r="F29" s="9">
        <f>SUM(F12:F28)</f>
        <v>2900</v>
      </c>
      <c r="H29" s="1"/>
    </row>
    <row r="30" spans="2:8" x14ac:dyDescent="0.25">
      <c r="B30" s="63" t="s">
        <v>215</v>
      </c>
      <c r="C30" s="64"/>
      <c r="D30" s="64"/>
      <c r="E30" s="64"/>
      <c r="F30" s="64"/>
    </row>
    <row r="31" spans="2:8" x14ac:dyDescent="0.25">
      <c r="B31" s="6" t="s">
        <v>1</v>
      </c>
      <c r="C31" s="22" t="s">
        <v>0</v>
      </c>
      <c r="D31" s="6" t="s">
        <v>2</v>
      </c>
      <c r="E31" s="7" t="s">
        <v>3</v>
      </c>
      <c r="F31" s="7" t="s">
        <v>4</v>
      </c>
    </row>
    <row r="32" spans="2:8" x14ac:dyDescent="0.25">
      <c r="B32" s="41" t="str">
        <f>IFERROR(VLOOKUP(C32,Sheet1!B:C,2,FALSE), )</f>
        <v>003040854</v>
      </c>
      <c r="C32" s="23" t="s">
        <v>11</v>
      </c>
      <c r="D32" s="3">
        <v>1</v>
      </c>
      <c r="E32" s="42">
        <v>18</v>
      </c>
      <c r="F32" s="42">
        <f t="shared" ref="F32:F35" si="5">E32*D32</f>
        <v>18</v>
      </c>
    </row>
    <row r="33" spans="2:8" x14ac:dyDescent="0.25">
      <c r="B33" s="41">
        <f>IFERROR(VLOOKUP(C33,Sheet1!B:C,2,FALSE), )</f>
        <v>149283</v>
      </c>
      <c r="C33" s="23" t="s">
        <v>21</v>
      </c>
      <c r="D33" s="3">
        <v>1</v>
      </c>
      <c r="E33" s="42">
        <f>IFERROR(VLOOKUP(C33,Sheet1!B:D,3,FALSE),0)</f>
        <v>170</v>
      </c>
      <c r="F33" s="42">
        <f t="shared" si="5"/>
        <v>170</v>
      </c>
    </row>
    <row r="34" spans="2:8" x14ac:dyDescent="0.25">
      <c r="B34" s="41">
        <f>IFERROR(VLOOKUP(C34,Sheet1!B:C,2,FALSE), )</f>
        <v>149284</v>
      </c>
      <c r="C34" s="23" t="s">
        <v>22</v>
      </c>
      <c r="D34" s="3">
        <v>1</v>
      </c>
      <c r="E34" s="42">
        <f>IFERROR(VLOOKUP(C34,Sheet1!B:D,3,FALSE),0)</f>
        <v>170</v>
      </c>
      <c r="F34" s="42">
        <f t="shared" si="5"/>
        <v>170</v>
      </c>
    </row>
    <row r="35" spans="2:8" x14ac:dyDescent="0.25">
      <c r="B35" s="41">
        <f>IFERROR(VLOOKUP(C35,Sheet1!B:C,2,FALSE), )</f>
        <v>149315</v>
      </c>
      <c r="C35" s="23" t="s">
        <v>23</v>
      </c>
      <c r="D35" s="3">
        <v>1</v>
      </c>
      <c r="E35" s="42">
        <f>IFERROR(VLOOKUP(C35,Sheet1!B:D,3,FALSE),0)</f>
        <v>50</v>
      </c>
      <c r="F35" s="42">
        <f t="shared" si="5"/>
        <v>50</v>
      </c>
    </row>
    <row r="36" spans="2:8" x14ac:dyDescent="0.25">
      <c r="B36" s="41">
        <f>IFERROR(VLOOKUP(C36,Sheet1!B:C,2,FALSE), )</f>
        <v>149316</v>
      </c>
      <c r="C36" s="23" t="s">
        <v>78</v>
      </c>
      <c r="D36" s="3">
        <v>1</v>
      </c>
      <c r="E36" s="42">
        <f>IFERROR(VLOOKUP(C36,Sheet1!B:D,3,FALSE),0)</f>
        <v>50</v>
      </c>
      <c r="F36" s="42">
        <f t="shared" ref="F36:F39" si="6">E36*D36</f>
        <v>50</v>
      </c>
    </row>
    <row r="37" spans="2:8" ht="13.9" customHeight="1" x14ac:dyDescent="0.25">
      <c r="B37" s="41">
        <v>130091</v>
      </c>
      <c r="C37" s="52" t="s">
        <v>30</v>
      </c>
      <c r="D37" s="3">
        <v>2</v>
      </c>
      <c r="E37" s="42">
        <f>IFERROR(VLOOKUP(C37,Sheet1!B:D,3,FALSE),0)</f>
        <v>71.3</v>
      </c>
      <c r="F37" s="42">
        <f t="shared" si="6"/>
        <v>142.6</v>
      </c>
    </row>
    <row r="38" spans="2:8" ht="13.9" customHeight="1" x14ac:dyDescent="0.25">
      <c r="B38" s="41">
        <f>IFERROR(VLOOKUP(C38,Sheet1!B:C,2,FALSE), )</f>
        <v>0</v>
      </c>
      <c r="C38" s="23"/>
      <c r="D38" s="3"/>
      <c r="E38" s="42">
        <f>IFERROR(VLOOKUP(C38,Sheet1!B:D,3,FALSE),0)</f>
        <v>0</v>
      </c>
      <c r="F38" s="42">
        <f t="shared" ref="F38" si="7">E38*D38</f>
        <v>0</v>
      </c>
    </row>
    <row r="39" spans="2:8" ht="13.9" customHeight="1" x14ac:dyDescent="0.25">
      <c r="B39" s="41">
        <f>IFERROR(VLOOKUP(C39,Sheet1!B:C,2,FALSE), )</f>
        <v>0</v>
      </c>
      <c r="C39" s="23"/>
      <c r="D39" s="3"/>
      <c r="E39" s="42">
        <f>IFERROR(VLOOKUP(C39,Sheet1!B:D,3,FALSE),0)</f>
        <v>0</v>
      </c>
      <c r="F39" s="42">
        <f t="shared" si="6"/>
        <v>0</v>
      </c>
    </row>
    <row r="40" spans="2:8" x14ac:dyDescent="0.25">
      <c r="B40" s="59"/>
      <c r="C40" s="60"/>
      <c r="D40" s="61"/>
      <c r="E40" s="8" t="s">
        <v>9</v>
      </c>
      <c r="F40" s="9">
        <f>SUM(F32:F39)</f>
        <v>600.6</v>
      </c>
      <c r="H40" s="1"/>
    </row>
  </sheetData>
  <mergeCells count="13">
    <mergeCell ref="B1:F2"/>
    <mergeCell ref="C3:D3"/>
    <mergeCell ref="C4:D4"/>
    <mergeCell ref="B40:D40"/>
    <mergeCell ref="C10:D10"/>
    <mergeCell ref="B11:F11"/>
    <mergeCell ref="B29:D29"/>
    <mergeCell ref="C5:D5"/>
    <mergeCell ref="C7:D7"/>
    <mergeCell ref="C6:D6"/>
    <mergeCell ref="C8:D8"/>
    <mergeCell ref="C9:D9"/>
    <mergeCell ref="B30:F30"/>
  </mergeCell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A0DB5A3-64D9-467D-905C-30DF5E280890}">
          <x14:formula1>
            <xm:f>Sheet1!$B$4:$B$184</xm:f>
          </x14:formula1>
          <xm:sqref>C13:C28</xm:sqref>
        </x14:dataValidation>
        <x14:dataValidation type="list" allowBlank="1" showInputMessage="1" showErrorMessage="1" xr:uid="{11AF7958-A9B0-4A47-97F5-156095FAD540}">
          <x14:formula1>
            <xm:f>Sheet1!$G$4:$G$15</xm:f>
          </x14:formula1>
          <xm:sqref>F8 C8</xm:sqref>
        </x14:dataValidation>
        <x14:dataValidation type="list" allowBlank="1" showInputMessage="1" showErrorMessage="1" xr:uid="{E8BFC3DD-AC60-4105-AEBB-FB763B3B538E}">
          <x14:formula1>
            <xm:f>Sheet1!$B:$B</xm:f>
          </x14:formula1>
          <xm:sqref>C38:C39 C32:C36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F999-0AFE-40F1-9184-F742BE49BF8A}">
  <dimension ref="A1:G202"/>
  <sheetViews>
    <sheetView workbookViewId="0">
      <selection activeCell="G187" sqref="G187"/>
    </sheetView>
  </sheetViews>
  <sheetFormatPr defaultRowHeight="15" x14ac:dyDescent="0.25"/>
  <cols>
    <col min="1" max="1" width="48" bestFit="1" customWidth="1"/>
    <col min="2" max="2" width="11" bestFit="1" customWidth="1"/>
    <col min="3" max="3" width="7" bestFit="1" customWidth="1"/>
    <col min="5" max="5" width="34" bestFit="1" customWidth="1"/>
    <col min="6" max="6" width="20.5703125" bestFit="1" customWidth="1"/>
    <col min="7" max="7" width="15.7109375" customWidth="1"/>
  </cols>
  <sheetData>
    <row r="1" spans="1:7" x14ac:dyDescent="0.25">
      <c r="A1" s="10" t="s">
        <v>91</v>
      </c>
      <c r="B1" s="10"/>
      <c r="C1" s="32"/>
      <c r="D1" s="10"/>
      <c r="E1" s="10" t="s">
        <v>178</v>
      </c>
      <c r="F1" s="10" t="s">
        <v>179</v>
      </c>
      <c r="G1" s="10" t="s">
        <v>177</v>
      </c>
    </row>
    <row r="2" spans="1:7" x14ac:dyDescent="0.25">
      <c r="A2" s="13" t="s">
        <v>87</v>
      </c>
      <c r="B2" s="14">
        <v>222291</v>
      </c>
      <c r="C2" s="33">
        <v>2800</v>
      </c>
      <c r="D2" s="10"/>
      <c r="E2" s="12" t="s">
        <v>181</v>
      </c>
      <c r="F2" s="12" t="s">
        <v>201</v>
      </c>
      <c r="G2" s="12" t="s">
        <v>180</v>
      </c>
    </row>
    <row r="3" spans="1:7" x14ac:dyDescent="0.25">
      <c r="A3" s="13" t="s">
        <v>88</v>
      </c>
      <c r="B3" s="14">
        <v>230652</v>
      </c>
      <c r="C3" s="33">
        <v>2700</v>
      </c>
      <c r="D3" s="10"/>
      <c r="E3" s="10" t="s">
        <v>204</v>
      </c>
      <c r="F3" s="10" t="s">
        <v>203</v>
      </c>
      <c r="G3" s="10" t="s">
        <v>202</v>
      </c>
    </row>
    <row r="4" spans="1:7" x14ac:dyDescent="0.25">
      <c r="A4" s="13" t="s">
        <v>80</v>
      </c>
      <c r="B4" s="14">
        <v>234745</v>
      </c>
      <c r="C4" s="33">
        <v>2500</v>
      </c>
      <c r="D4" s="10"/>
      <c r="E4" s="12" t="s">
        <v>183</v>
      </c>
      <c r="F4" s="12" t="s">
        <v>184</v>
      </c>
      <c r="G4" s="12" t="s">
        <v>182</v>
      </c>
    </row>
    <row r="5" spans="1:7" x14ac:dyDescent="0.25">
      <c r="A5" s="13" t="s">
        <v>228</v>
      </c>
      <c r="B5" s="14"/>
      <c r="C5" s="33">
        <v>2500</v>
      </c>
      <c r="D5" s="10"/>
      <c r="E5" s="12" t="s">
        <v>187</v>
      </c>
      <c r="F5" s="12" t="s">
        <v>200</v>
      </c>
      <c r="G5" s="12" t="s">
        <v>32</v>
      </c>
    </row>
    <row r="6" spans="1:7" x14ac:dyDescent="0.25">
      <c r="A6" s="13" t="s">
        <v>89</v>
      </c>
      <c r="B6" s="14">
        <v>222305</v>
      </c>
      <c r="C6" s="33">
        <v>1800</v>
      </c>
      <c r="D6" s="10"/>
      <c r="E6" s="12" t="s">
        <v>186</v>
      </c>
      <c r="F6" s="12" t="s">
        <v>199</v>
      </c>
      <c r="G6" s="12" t="s">
        <v>185</v>
      </c>
    </row>
    <row r="7" spans="1:7" x14ac:dyDescent="0.25">
      <c r="A7" s="13" t="s">
        <v>81</v>
      </c>
      <c r="B7" s="14">
        <v>230666</v>
      </c>
      <c r="C7" s="33">
        <v>1650</v>
      </c>
      <c r="D7" s="10"/>
      <c r="E7" s="12" t="s">
        <v>188</v>
      </c>
      <c r="F7" s="12" t="s">
        <v>198</v>
      </c>
      <c r="G7" s="12" t="s">
        <v>27</v>
      </c>
    </row>
    <row r="8" spans="1:7" x14ac:dyDescent="0.25">
      <c r="A8" s="13" t="s">
        <v>82</v>
      </c>
      <c r="B8" s="14">
        <v>234759</v>
      </c>
      <c r="C8" s="33">
        <v>1575</v>
      </c>
      <c r="D8" s="10"/>
      <c r="E8" s="12" t="s">
        <v>192</v>
      </c>
      <c r="F8" s="12" t="s">
        <v>197</v>
      </c>
      <c r="G8" s="12" t="s">
        <v>191</v>
      </c>
    </row>
    <row r="9" spans="1:7" x14ac:dyDescent="0.25">
      <c r="A9" s="13" t="s">
        <v>229</v>
      </c>
      <c r="B9" s="14"/>
      <c r="C9" s="33">
        <v>1575</v>
      </c>
      <c r="D9" s="10"/>
      <c r="E9" s="12" t="s">
        <v>190</v>
      </c>
      <c r="F9" s="12" t="s">
        <v>196</v>
      </c>
      <c r="G9" s="12" t="s">
        <v>189</v>
      </c>
    </row>
    <row r="10" spans="1:7" x14ac:dyDescent="0.25">
      <c r="A10" s="13" t="s">
        <v>90</v>
      </c>
      <c r="B10" s="14">
        <v>240470</v>
      </c>
      <c r="C10" s="33">
        <v>1100</v>
      </c>
      <c r="D10" s="10"/>
      <c r="E10" s="12" t="s">
        <v>194</v>
      </c>
      <c r="F10" s="12"/>
      <c r="G10" s="12" t="s">
        <v>193</v>
      </c>
    </row>
    <row r="11" spans="1:7" x14ac:dyDescent="0.25">
      <c r="A11" s="13" t="s">
        <v>83</v>
      </c>
      <c r="B11" s="14">
        <v>240749</v>
      </c>
      <c r="C11" s="33">
        <v>935</v>
      </c>
      <c r="D11" s="10"/>
      <c r="E11" s="12" t="s">
        <v>195</v>
      </c>
      <c r="F11" s="12"/>
      <c r="G11" s="12">
        <v>871</v>
      </c>
    </row>
    <row r="12" spans="1:7" x14ac:dyDescent="0.25">
      <c r="A12" s="13" t="s">
        <v>84</v>
      </c>
      <c r="B12" s="14">
        <v>234772</v>
      </c>
      <c r="C12" s="33">
        <v>880</v>
      </c>
      <c r="D12" s="10"/>
      <c r="E12" s="10" t="s">
        <v>209</v>
      </c>
      <c r="F12" s="10" t="s">
        <v>210</v>
      </c>
      <c r="G12" s="10" t="s">
        <v>209</v>
      </c>
    </row>
    <row r="13" spans="1:7" x14ac:dyDescent="0.25">
      <c r="A13" s="13" t="s">
        <v>230</v>
      </c>
      <c r="B13" s="15"/>
      <c r="C13" s="34">
        <v>880</v>
      </c>
      <c r="D13" s="10"/>
      <c r="E13" s="10" t="s">
        <v>213</v>
      </c>
      <c r="F13" s="10" t="s">
        <v>213</v>
      </c>
      <c r="G13" s="10" t="s">
        <v>213</v>
      </c>
    </row>
    <row r="14" spans="1:7" x14ac:dyDescent="0.25">
      <c r="A14" s="10" t="s">
        <v>36</v>
      </c>
      <c r="B14" s="14">
        <v>248369</v>
      </c>
      <c r="C14" s="33">
        <v>1133</v>
      </c>
      <c r="D14" s="10"/>
      <c r="E14" s="10"/>
      <c r="F14" s="10"/>
      <c r="G14" s="10"/>
    </row>
    <row r="15" spans="1:7" x14ac:dyDescent="0.25">
      <c r="A15" s="13" t="s">
        <v>37</v>
      </c>
      <c r="B15" s="14">
        <v>247787</v>
      </c>
      <c r="C15" s="33">
        <v>1133</v>
      </c>
      <c r="D15" s="10"/>
      <c r="E15" s="10"/>
      <c r="F15" s="10"/>
      <c r="G15" s="10"/>
    </row>
    <row r="16" spans="1:7" x14ac:dyDescent="0.25">
      <c r="A16" s="13" t="s">
        <v>33</v>
      </c>
      <c r="B16" s="16">
        <v>225683</v>
      </c>
      <c r="C16" s="35">
        <v>600</v>
      </c>
      <c r="D16" s="10"/>
      <c r="E16" s="10"/>
      <c r="F16" s="10"/>
      <c r="G16" s="10"/>
    </row>
    <row r="17" spans="1:7" x14ac:dyDescent="0.25">
      <c r="A17" s="13" t="s">
        <v>35</v>
      </c>
      <c r="B17" s="16">
        <v>200309</v>
      </c>
      <c r="C17" s="35">
        <v>400</v>
      </c>
      <c r="D17" s="10"/>
      <c r="E17" s="10"/>
      <c r="F17" s="10"/>
      <c r="G17" s="10"/>
    </row>
    <row r="18" spans="1:7" x14ac:dyDescent="0.25">
      <c r="A18" s="13" t="s">
        <v>38</v>
      </c>
      <c r="B18" s="14">
        <v>197014</v>
      </c>
      <c r="C18" s="33">
        <v>2200</v>
      </c>
      <c r="D18" s="10"/>
      <c r="E18" s="10"/>
      <c r="F18" s="10"/>
      <c r="G18" s="10"/>
    </row>
    <row r="19" spans="1:7" x14ac:dyDescent="0.25">
      <c r="A19" s="13" t="s">
        <v>39</v>
      </c>
      <c r="B19" s="14">
        <v>196447</v>
      </c>
      <c r="C19" s="33">
        <v>2178</v>
      </c>
      <c r="D19" s="10"/>
      <c r="E19" s="10"/>
      <c r="F19" s="10"/>
      <c r="G19" s="10"/>
    </row>
    <row r="20" spans="1:7" x14ac:dyDescent="0.25">
      <c r="A20" s="13" t="s">
        <v>40</v>
      </c>
      <c r="B20" s="14">
        <v>196429</v>
      </c>
      <c r="C20" s="33">
        <v>1925</v>
      </c>
      <c r="D20" s="10"/>
      <c r="E20" s="10"/>
      <c r="F20" s="10"/>
      <c r="G20" s="10"/>
    </row>
    <row r="21" spans="1:7" x14ac:dyDescent="0.25">
      <c r="A21" s="13" t="s">
        <v>41</v>
      </c>
      <c r="B21" s="14">
        <v>197020</v>
      </c>
      <c r="C21" s="33">
        <v>1600</v>
      </c>
      <c r="D21" s="10"/>
      <c r="E21" s="10"/>
      <c r="F21" s="10"/>
      <c r="G21" s="10"/>
    </row>
    <row r="22" spans="1:7" x14ac:dyDescent="0.25">
      <c r="A22" s="13" t="s">
        <v>42</v>
      </c>
      <c r="B22" s="14">
        <v>196454</v>
      </c>
      <c r="C22" s="33">
        <v>1628</v>
      </c>
      <c r="D22" s="10"/>
      <c r="E22" s="10"/>
      <c r="F22" s="10"/>
      <c r="G22" s="10"/>
    </row>
    <row r="23" spans="1:7" x14ac:dyDescent="0.25">
      <c r="A23" s="13" t="s">
        <v>43</v>
      </c>
      <c r="B23" s="14">
        <v>196435</v>
      </c>
      <c r="C23" s="33">
        <v>1573</v>
      </c>
      <c r="D23" s="10"/>
      <c r="E23" s="10"/>
      <c r="F23" s="10"/>
      <c r="G23" s="10"/>
    </row>
    <row r="24" spans="1:7" x14ac:dyDescent="0.25">
      <c r="A24" s="13" t="s">
        <v>44</v>
      </c>
      <c r="B24" s="30">
        <v>197026</v>
      </c>
      <c r="C24" s="36">
        <v>1400</v>
      </c>
      <c r="D24" s="10"/>
      <c r="E24" s="10"/>
      <c r="F24" s="10"/>
      <c r="G24" s="10"/>
    </row>
    <row r="25" spans="1:7" x14ac:dyDescent="0.25">
      <c r="A25" s="13" t="s">
        <v>45</v>
      </c>
      <c r="B25" s="14">
        <v>196460</v>
      </c>
      <c r="C25" s="33">
        <v>1265</v>
      </c>
      <c r="D25" s="10"/>
      <c r="E25" s="10"/>
      <c r="F25" s="10"/>
      <c r="G25" s="10"/>
    </row>
    <row r="26" spans="1:7" x14ac:dyDescent="0.25">
      <c r="A26" s="13" t="s">
        <v>46</v>
      </c>
      <c r="B26" s="14">
        <v>196441</v>
      </c>
      <c r="C26" s="33">
        <v>1210</v>
      </c>
      <c r="D26" s="10"/>
      <c r="E26" s="10"/>
      <c r="F26" s="10"/>
      <c r="G26" s="10"/>
    </row>
    <row r="27" spans="1:7" x14ac:dyDescent="0.25">
      <c r="A27" s="13" t="s">
        <v>29</v>
      </c>
      <c r="B27" s="14">
        <v>215144</v>
      </c>
      <c r="C27" s="33">
        <v>950</v>
      </c>
      <c r="D27" s="10"/>
      <c r="E27" s="10"/>
      <c r="F27" s="10"/>
      <c r="G27" s="10"/>
    </row>
    <row r="28" spans="1:7" x14ac:dyDescent="0.25">
      <c r="A28" s="13" t="s">
        <v>13</v>
      </c>
      <c r="B28" s="14">
        <v>215325</v>
      </c>
      <c r="C28" s="33">
        <v>935</v>
      </c>
      <c r="D28" s="10"/>
      <c r="E28" s="10"/>
      <c r="F28" s="10"/>
      <c r="G28" s="10"/>
    </row>
    <row r="29" spans="1:7" x14ac:dyDescent="0.25">
      <c r="A29" s="13" t="s">
        <v>12</v>
      </c>
      <c r="B29" s="14">
        <v>215349</v>
      </c>
      <c r="C29" s="33">
        <v>880</v>
      </c>
      <c r="D29" s="10"/>
      <c r="E29" s="10"/>
      <c r="F29" s="10"/>
      <c r="G29" s="10"/>
    </row>
    <row r="30" spans="1:7" x14ac:dyDescent="0.25">
      <c r="A30" s="13" t="s">
        <v>28</v>
      </c>
      <c r="B30" s="14">
        <v>215331</v>
      </c>
      <c r="C30" s="33">
        <v>825</v>
      </c>
      <c r="D30" s="10"/>
      <c r="E30" s="10"/>
      <c r="F30" s="10"/>
      <c r="G30" s="10"/>
    </row>
    <row r="31" spans="1:7" x14ac:dyDescent="0.25">
      <c r="A31" s="13" t="s">
        <v>47</v>
      </c>
      <c r="B31" s="14">
        <v>215355</v>
      </c>
      <c r="C31" s="33">
        <v>770</v>
      </c>
      <c r="D31" s="10"/>
      <c r="E31" s="10"/>
      <c r="F31" s="10"/>
      <c r="G31" s="10"/>
    </row>
    <row r="32" spans="1:7" x14ac:dyDescent="0.25">
      <c r="A32" s="13"/>
      <c r="B32" s="14"/>
      <c r="C32" s="33"/>
      <c r="D32" s="10"/>
      <c r="E32" s="10"/>
      <c r="F32" s="10"/>
      <c r="G32" s="10"/>
    </row>
    <row r="33" spans="1:7" x14ac:dyDescent="0.25">
      <c r="A33" s="16" t="s">
        <v>85</v>
      </c>
      <c r="B33" s="14"/>
      <c r="C33" s="33"/>
      <c r="D33" s="10"/>
      <c r="E33" s="10"/>
      <c r="F33" s="10"/>
      <c r="G33" s="10"/>
    </row>
    <row r="34" spans="1:7" x14ac:dyDescent="0.25">
      <c r="A34" s="10" t="s">
        <v>48</v>
      </c>
      <c r="B34" s="14">
        <v>149272</v>
      </c>
      <c r="C34" s="33">
        <f>VLOOKUP(B34,[1]Sheet3!$C:$F,4,FALSE)</f>
        <v>170</v>
      </c>
      <c r="D34" s="10"/>
      <c r="E34" s="10"/>
      <c r="F34" s="10"/>
      <c r="G34" s="10"/>
    </row>
    <row r="35" spans="1:7" x14ac:dyDescent="0.25">
      <c r="A35" s="10" t="s">
        <v>49</v>
      </c>
      <c r="B35" s="14">
        <v>149271</v>
      </c>
      <c r="C35" s="33">
        <v>170</v>
      </c>
      <c r="D35" s="10"/>
      <c r="E35" s="10"/>
      <c r="F35" s="10"/>
      <c r="G35" s="10"/>
    </row>
    <row r="36" spans="1:7" x14ac:dyDescent="0.25">
      <c r="A36" s="10" t="s">
        <v>17</v>
      </c>
      <c r="B36" s="14">
        <v>149274</v>
      </c>
      <c r="C36" s="33">
        <v>170</v>
      </c>
      <c r="D36" s="10"/>
      <c r="E36" s="10"/>
      <c r="F36" s="10"/>
      <c r="G36" s="10"/>
    </row>
    <row r="37" spans="1:7" x14ac:dyDescent="0.25">
      <c r="A37" s="10" t="s">
        <v>18</v>
      </c>
      <c r="B37" s="14">
        <v>149273</v>
      </c>
      <c r="C37" s="33">
        <v>170</v>
      </c>
      <c r="D37" s="10"/>
      <c r="E37" s="10"/>
      <c r="F37" s="10"/>
      <c r="G37" s="10"/>
    </row>
    <row r="38" spans="1:7" x14ac:dyDescent="0.25">
      <c r="A38" s="10" t="s">
        <v>19</v>
      </c>
      <c r="B38" s="14">
        <v>149276</v>
      </c>
      <c r="C38" s="33">
        <v>170</v>
      </c>
      <c r="D38" s="10"/>
      <c r="E38" s="10"/>
      <c r="F38" s="10"/>
      <c r="G38" s="10"/>
    </row>
    <row r="39" spans="1:7" x14ac:dyDescent="0.25">
      <c r="A39" s="10" t="s">
        <v>20</v>
      </c>
      <c r="B39" s="14">
        <v>149275</v>
      </c>
      <c r="C39" s="33">
        <v>170</v>
      </c>
      <c r="D39" s="10"/>
      <c r="E39" s="10"/>
      <c r="F39" s="10"/>
      <c r="G39" s="10"/>
    </row>
    <row r="40" spans="1:7" x14ac:dyDescent="0.25">
      <c r="A40" s="10" t="s">
        <v>50</v>
      </c>
      <c r="B40" s="14">
        <v>149278</v>
      </c>
      <c r="C40" s="33">
        <v>170</v>
      </c>
      <c r="D40" s="10"/>
      <c r="E40" s="10"/>
      <c r="F40" s="10"/>
      <c r="G40" s="10"/>
    </row>
    <row r="41" spans="1:7" x14ac:dyDescent="0.25">
      <c r="A41" s="10" t="s">
        <v>51</v>
      </c>
      <c r="B41" s="14">
        <v>149277</v>
      </c>
      <c r="C41" s="33">
        <v>170</v>
      </c>
      <c r="D41" s="10"/>
      <c r="E41" s="10"/>
      <c r="F41" s="10"/>
      <c r="G41" s="10"/>
    </row>
    <row r="42" spans="1:7" x14ac:dyDescent="0.25">
      <c r="A42" s="10" t="s">
        <v>52</v>
      </c>
      <c r="B42" s="14">
        <v>149279</v>
      </c>
      <c r="C42" s="33">
        <v>170</v>
      </c>
      <c r="D42" s="10"/>
      <c r="E42" s="10"/>
      <c r="F42" s="10"/>
      <c r="G42" s="10"/>
    </row>
    <row r="43" spans="1:7" x14ac:dyDescent="0.25">
      <c r="A43" s="10" t="s">
        <v>53</v>
      </c>
      <c r="B43" s="14">
        <v>149280</v>
      </c>
      <c r="C43" s="33">
        <v>170</v>
      </c>
      <c r="D43" s="10"/>
      <c r="E43" s="10"/>
      <c r="F43" s="10"/>
      <c r="G43" s="10"/>
    </row>
    <row r="44" spans="1:7" x14ac:dyDescent="0.25">
      <c r="A44" s="10" t="s">
        <v>14</v>
      </c>
      <c r="B44" s="14">
        <v>149281</v>
      </c>
      <c r="C44" s="33">
        <v>170</v>
      </c>
      <c r="D44" s="10"/>
      <c r="E44" s="10"/>
      <c r="F44" s="10"/>
      <c r="G44" s="10"/>
    </row>
    <row r="45" spans="1:7" x14ac:dyDescent="0.25">
      <c r="A45" s="10" t="s">
        <v>15</v>
      </c>
      <c r="B45" s="14">
        <v>149282</v>
      </c>
      <c r="C45" s="33">
        <v>170</v>
      </c>
      <c r="D45" s="10"/>
      <c r="E45" s="10"/>
      <c r="F45" s="10"/>
      <c r="G45" s="10"/>
    </row>
    <row r="46" spans="1:7" x14ac:dyDescent="0.25">
      <c r="A46" s="10" t="s">
        <v>21</v>
      </c>
      <c r="B46" s="14">
        <v>149283</v>
      </c>
      <c r="C46" s="33">
        <v>170</v>
      </c>
      <c r="D46" s="10"/>
      <c r="E46" s="10"/>
      <c r="F46" s="10"/>
      <c r="G46" s="10"/>
    </row>
    <row r="47" spans="1:7" x14ac:dyDescent="0.25">
      <c r="A47" s="10" t="s">
        <v>22</v>
      </c>
      <c r="B47" s="14">
        <v>149284</v>
      </c>
      <c r="C47" s="33">
        <v>170</v>
      </c>
      <c r="D47" s="10"/>
      <c r="E47" s="10"/>
      <c r="F47" s="10"/>
      <c r="G47" s="10"/>
    </row>
    <row r="48" spans="1:7" x14ac:dyDescent="0.25">
      <c r="A48" s="10" t="s">
        <v>54</v>
      </c>
      <c r="B48" s="14">
        <v>149285</v>
      </c>
      <c r="C48" s="33">
        <v>170</v>
      </c>
      <c r="D48" s="10"/>
      <c r="E48" s="10"/>
      <c r="F48" s="10"/>
      <c r="G48" s="10"/>
    </row>
    <row r="49" spans="1:7" x14ac:dyDescent="0.25">
      <c r="A49" s="10" t="s">
        <v>55</v>
      </c>
      <c r="B49" s="14">
        <v>149286</v>
      </c>
      <c r="C49" s="33">
        <v>170</v>
      </c>
      <c r="D49" s="10"/>
      <c r="E49" s="10"/>
      <c r="F49" s="10"/>
      <c r="G49" s="10"/>
    </row>
    <row r="50" spans="1:7" x14ac:dyDescent="0.25">
      <c r="A50" s="10" t="s">
        <v>56</v>
      </c>
      <c r="B50" s="14">
        <v>149287</v>
      </c>
      <c r="C50" s="33">
        <v>170</v>
      </c>
      <c r="D50" s="10"/>
      <c r="E50" s="10"/>
      <c r="F50" s="10"/>
      <c r="G50" s="10"/>
    </row>
    <row r="51" spans="1:7" x14ac:dyDescent="0.25">
      <c r="A51" s="10" t="s">
        <v>57</v>
      </c>
      <c r="B51" s="14">
        <v>149288</v>
      </c>
      <c r="C51" s="33">
        <v>170</v>
      </c>
      <c r="D51" s="10"/>
      <c r="E51" s="10"/>
      <c r="F51" s="10"/>
      <c r="G51" s="10"/>
    </row>
    <row r="52" spans="1:7" x14ac:dyDescent="0.25">
      <c r="A52" s="10" t="s">
        <v>58</v>
      </c>
      <c r="B52" s="14">
        <v>149289</v>
      </c>
      <c r="C52" s="33">
        <v>170</v>
      </c>
      <c r="D52" s="10"/>
      <c r="E52" s="10"/>
      <c r="F52" s="10"/>
      <c r="G52" s="10"/>
    </row>
    <row r="53" spans="1:7" x14ac:dyDescent="0.25">
      <c r="A53" s="10" t="s">
        <v>59</v>
      </c>
      <c r="B53" s="14">
        <v>149290</v>
      </c>
      <c r="C53" s="33">
        <v>170</v>
      </c>
      <c r="D53" s="10"/>
      <c r="E53" s="10"/>
      <c r="F53" s="10"/>
      <c r="G53" s="10"/>
    </row>
    <row r="54" spans="1:7" x14ac:dyDescent="0.25">
      <c r="A54" s="10" t="s">
        <v>60</v>
      </c>
      <c r="B54" s="14">
        <v>149291</v>
      </c>
      <c r="C54" s="33">
        <v>170</v>
      </c>
      <c r="D54" s="10"/>
      <c r="E54" s="10"/>
      <c r="F54" s="10"/>
      <c r="G54" s="10"/>
    </row>
    <row r="55" spans="1:7" x14ac:dyDescent="0.25">
      <c r="A55" s="10" t="s">
        <v>61</v>
      </c>
      <c r="B55" s="14">
        <v>149292</v>
      </c>
      <c r="C55" s="33">
        <v>170</v>
      </c>
      <c r="D55" s="10"/>
      <c r="E55" s="10"/>
      <c r="F55" s="10"/>
      <c r="G55" s="10"/>
    </row>
    <row r="56" spans="1:7" x14ac:dyDescent="0.25">
      <c r="A56" s="10" t="s">
        <v>62</v>
      </c>
      <c r="B56" s="14">
        <v>149293</v>
      </c>
      <c r="C56" s="33">
        <v>170</v>
      </c>
      <c r="D56" s="10"/>
      <c r="E56" s="10"/>
      <c r="F56" s="10"/>
      <c r="G56" s="10"/>
    </row>
    <row r="57" spans="1:7" x14ac:dyDescent="0.25">
      <c r="A57" s="10" t="s">
        <v>63</v>
      </c>
      <c r="B57" s="14">
        <v>149294</v>
      </c>
      <c r="C57" s="33">
        <v>170</v>
      </c>
      <c r="D57" s="10"/>
      <c r="E57" s="10"/>
      <c r="F57" s="10"/>
      <c r="G57" s="10"/>
    </row>
    <row r="58" spans="1:7" x14ac:dyDescent="0.25">
      <c r="A58" s="10"/>
      <c r="B58" s="14"/>
      <c r="C58" s="33"/>
      <c r="D58" s="10"/>
      <c r="E58" s="10"/>
      <c r="F58" s="10"/>
      <c r="G58" s="10"/>
    </row>
    <row r="59" spans="1:7" x14ac:dyDescent="0.25">
      <c r="A59" s="10" t="s">
        <v>140</v>
      </c>
      <c r="B59" s="14">
        <v>156522</v>
      </c>
      <c r="C59" s="33">
        <v>58</v>
      </c>
      <c r="D59" s="10"/>
      <c r="E59" s="10"/>
      <c r="F59" s="10"/>
      <c r="G59" s="10"/>
    </row>
    <row r="60" spans="1:7" x14ac:dyDescent="0.25">
      <c r="A60" s="10" t="s">
        <v>141</v>
      </c>
      <c r="B60" s="14">
        <v>156526</v>
      </c>
      <c r="C60" s="33">
        <v>58</v>
      </c>
      <c r="D60" s="10"/>
      <c r="E60" s="10"/>
      <c r="F60" s="10"/>
      <c r="G60" s="10"/>
    </row>
    <row r="61" spans="1:7" x14ac:dyDescent="0.25">
      <c r="A61" s="10" t="s">
        <v>142</v>
      </c>
      <c r="B61" s="14">
        <v>156523</v>
      </c>
      <c r="C61" s="33">
        <v>58</v>
      </c>
      <c r="D61" s="10"/>
      <c r="E61" s="10"/>
      <c r="F61" s="10"/>
      <c r="G61" s="10"/>
    </row>
    <row r="62" spans="1:7" x14ac:dyDescent="0.25">
      <c r="A62" s="10" t="s">
        <v>143</v>
      </c>
      <c r="B62" s="14">
        <v>156527</v>
      </c>
      <c r="C62" s="33">
        <v>58</v>
      </c>
      <c r="D62" s="10"/>
      <c r="E62" s="10"/>
      <c r="F62" s="10"/>
      <c r="G62" s="10"/>
    </row>
    <row r="63" spans="1:7" x14ac:dyDescent="0.25">
      <c r="A63" s="10" t="s">
        <v>144</v>
      </c>
      <c r="B63" s="14">
        <v>156524</v>
      </c>
      <c r="C63" s="33">
        <v>58</v>
      </c>
      <c r="D63" s="10"/>
      <c r="E63" s="10"/>
      <c r="F63" s="10"/>
      <c r="G63" s="10"/>
    </row>
    <row r="64" spans="1:7" x14ac:dyDescent="0.25">
      <c r="A64" s="10" t="s">
        <v>145</v>
      </c>
      <c r="B64" s="14">
        <v>156528</v>
      </c>
      <c r="C64" s="33">
        <v>58</v>
      </c>
      <c r="D64" s="10"/>
      <c r="E64" s="10"/>
      <c r="F64" s="10"/>
      <c r="G64" s="10"/>
    </row>
    <row r="65" spans="1:7" x14ac:dyDescent="0.25">
      <c r="A65" s="10" t="s">
        <v>146</v>
      </c>
      <c r="B65" s="14">
        <v>156525</v>
      </c>
      <c r="C65" s="33">
        <v>58</v>
      </c>
      <c r="D65" s="10"/>
      <c r="E65" s="10"/>
      <c r="F65" s="10"/>
      <c r="G65" s="10"/>
    </row>
    <row r="66" spans="1:7" x14ac:dyDescent="0.25">
      <c r="A66" s="10" t="s">
        <v>147</v>
      </c>
      <c r="B66" s="14">
        <v>156529</v>
      </c>
      <c r="C66" s="33">
        <v>58</v>
      </c>
      <c r="D66" s="10"/>
      <c r="E66" s="10"/>
      <c r="F66" s="10"/>
      <c r="G66" s="10"/>
    </row>
    <row r="67" spans="1:7" x14ac:dyDescent="0.25">
      <c r="A67" s="10"/>
      <c r="B67" s="14"/>
      <c r="C67" s="33"/>
      <c r="D67" s="10"/>
      <c r="E67" s="10"/>
      <c r="F67" s="10"/>
      <c r="G67" s="10"/>
    </row>
    <row r="68" spans="1:7" x14ac:dyDescent="0.25">
      <c r="A68" s="10" t="s">
        <v>148</v>
      </c>
      <c r="B68" s="14">
        <v>156533</v>
      </c>
      <c r="C68" s="33">
        <v>58</v>
      </c>
      <c r="D68" s="10"/>
      <c r="E68" s="10"/>
      <c r="F68" s="10"/>
      <c r="G68" s="10"/>
    </row>
    <row r="69" spans="1:7" x14ac:dyDescent="0.25">
      <c r="A69" s="10" t="s">
        <v>149</v>
      </c>
      <c r="B69" s="14">
        <v>156537</v>
      </c>
      <c r="C69" s="33">
        <v>58</v>
      </c>
      <c r="D69" s="10"/>
      <c r="E69" s="10"/>
      <c r="F69" s="10"/>
      <c r="G69" s="10"/>
    </row>
    <row r="70" spans="1:7" x14ac:dyDescent="0.25">
      <c r="A70" s="10" t="s">
        <v>150</v>
      </c>
      <c r="B70" s="14">
        <v>156534</v>
      </c>
      <c r="C70" s="33">
        <v>58</v>
      </c>
      <c r="D70" s="10"/>
      <c r="E70" s="10"/>
      <c r="F70" s="10"/>
      <c r="G70" s="10"/>
    </row>
    <row r="71" spans="1:7" x14ac:dyDescent="0.25">
      <c r="A71" s="10" t="s">
        <v>151</v>
      </c>
      <c r="B71" s="14">
        <v>156538</v>
      </c>
      <c r="C71" s="33">
        <v>58</v>
      </c>
      <c r="D71" s="10"/>
      <c r="E71" s="10"/>
      <c r="F71" s="10"/>
      <c r="G71" s="10"/>
    </row>
    <row r="72" spans="1:7" x14ac:dyDescent="0.25">
      <c r="A72" s="10" t="s">
        <v>152</v>
      </c>
      <c r="B72" s="14">
        <v>156535</v>
      </c>
      <c r="C72" s="33">
        <v>58</v>
      </c>
      <c r="D72" s="10"/>
      <c r="E72" s="10"/>
      <c r="F72" s="10"/>
      <c r="G72" s="10"/>
    </row>
    <row r="73" spans="1:7" x14ac:dyDescent="0.25">
      <c r="A73" s="10" t="s">
        <v>153</v>
      </c>
      <c r="B73" s="14">
        <v>156539</v>
      </c>
      <c r="C73" s="33">
        <v>58</v>
      </c>
      <c r="D73" s="10"/>
      <c r="E73" s="10"/>
      <c r="F73" s="10"/>
      <c r="G73" s="10"/>
    </row>
    <row r="74" spans="1:7" x14ac:dyDescent="0.25">
      <c r="A74" s="10" t="s">
        <v>154</v>
      </c>
      <c r="B74" s="14">
        <v>156536</v>
      </c>
      <c r="C74" s="33">
        <v>58</v>
      </c>
      <c r="D74" s="10"/>
      <c r="E74" s="10"/>
      <c r="F74" s="10"/>
      <c r="G74" s="10"/>
    </row>
    <row r="75" spans="1:7" x14ac:dyDescent="0.25">
      <c r="A75" s="10" t="s">
        <v>155</v>
      </c>
      <c r="B75" s="14">
        <v>156540</v>
      </c>
      <c r="C75" s="33">
        <v>58</v>
      </c>
      <c r="D75" s="10"/>
      <c r="E75" s="10"/>
      <c r="F75" s="10"/>
      <c r="G75" s="10"/>
    </row>
    <row r="76" spans="1:7" x14ac:dyDescent="0.25">
      <c r="A76" s="10"/>
      <c r="B76" s="14"/>
      <c r="C76" s="33"/>
      <c r="D76" s="10"/>
      <c r="E76" s="10"/>
      <c r="F76" s="10"/>
      <c r="G76" s="10"/>
    </row>
    <row r="77" spans="1:7" x14ac:dyDescent="0.25">
      <c r="A77" s="14" t="s">
        <v>86</v>
      </c>
      <c r="B77" s="10"/>
      <c r="C77" s="32"/>
      <c r="D77" s="10"/>
      <c r="E77" s="10"/>
      <c r="F77" s="10"/>
      <c r="G77" s="10"/>
    </row>
    <row r="78" spans="1:7" x14ac:dyDescent="0.25">
      <c r="A78" s="10" t="s">
        <v>64</v>
      </c>
      <c r="B78" s="14">
        <v>218359</v>
      </c>
      <c r="C78" s="33">
        <v>50</v>
      </c>
      <c r="D78" s="10"/>
      <c r="E78" s="10"/>
      <c r="F78" s="10"/>
      <c r="G78" s="10"/>
    </row>
    <row r="79" spans="1:7" x14ac:dyDescent="0.25">
      <c r="A79" s="10" t="s">
        <v>65</v>
      </c>
      <c r="B79" s="14">
        <v>218364</v>
      </c>
      <c r="C79" s="33">
        <v>50</v>
      </c>
      <c r="D79" s="10"/>
      <c r="E79" s="10"/>
      <c r="F79" s="10"/>
      <c r="G79" s="10"/>
    </row>
    <row r="80" spans="1:7" x14ac:dyDescent="0.25">
      <c r="A80" s="10" t="s">
        <v>66</v>
      </c>
      <c r="B80" s="14">
        <v>218368</v>
      </c>
      <c r="C80" s="33">
        <v>50</v>
      </c>
      <c r="D80" s="10"/>
      <c r="E80" s="10"/>
      <c r="F80" s="10"/>
      <c r="G80" s="10"/>
    </row>
    <row r="81" spans="1:7" x14ac:dyDescent="0.25">
      <c r="A81" s="10" t="s">
        <v>67</v>
      </c>
      <c r="B81" s="14">
        <v>218373</v>
      </c>
      <c r="C81" s="33">
        <v>50</v>
      </c>
      <c r="D81" s="10"/>
      <c r="E81" s="10"/>
      <c r="F81" s="10"/>
      <c r="G81" s="10"/>
    </row>
    <row r="82" spans="1:7" x14ac:dyDescent="0.25">
      <c r="A82" s="10" t="s">
        <v>68</v>
      </c>
      <c r="B82" s="14">
        <v>218377</v>
      </c>
      <c r="C82" s="33">
        <v>50</v>
      </c>
      <c r="D82" s="10"/>
      <c r="E82" s="10"/>
      <c r="F82" s="10"/>
      <c r="G82" s="10"/>
    </row>
    <row r="83" spans="1:7" x14ac:dyDescent="0.25">
      <c r="A83" s="10" t="s">
        <v>69</v>
      </c>
      <c r="B83" s="14">
        <v>173494</v>
      </c>
      <c r="C83" s="33">
        <v>50</v>
      </c>
      <c r="D83" s="10"/>
      <c r="E83" s="10"/>
      <c r="F83" s="10"/>
      <c r="G83" s="10"/>
    </row>
    <row r="84" spans="1:7" x14ac:dyDescent="0.25">
      <c r="A84" s="10" t="s">
        <v>34</v>
      </c>
      <c r="B84" s="14">
        <v>149303</v>
      </c>
      <c r="C84" s="33">
        <v>50</v>
      </c>
      <c r="D84" s="10"/>
      <c r="E84" s="10"/>
      <c r="F84" s="10"/>
      <c r="G84" s="10"/>
    </row>
    <row r="85" spans="1:7" x14ac:dyDescent="0.25">
      <c r="A85" s="10" t="s">
        <v>24</v>
      </c>
      <c r="B85" s="14">
        <v>149304</v>
      </c>
      <c r="C85" s="33">
        <v>50</v>
      </c>
      <c r="D85" s="10"/>
      <c r="E85" s="10"/>
      <c r="F85" s="10"/>
      <c r="G85" s="10"/>
    </row>
    <row r="86" spans="1:7" x14ac:dyDescent="0.25">
      <c r="A86" s="10" t="s">
        <v>25</v>
      </c>
      <c r="B86" s="14">
        <v>149305</v>
      </c>
      <c r="C86" s="33">
        <v>50</v>
      </c>
      <c r="D86" s="10"/>
      <c r="E86" s="10"/>
      <c r="F86" s="10"/>
      <c r="G86" s="10"/>
    </row>
    <row r="87" spans="1:7" x14ac:dyDescent="0.25">
      <c r="A87" s="10" t="s">
        <v>70</v>
      </c>
      <c r="B87" s="14">
        <v>149306</v>
      </c>
      <c r="C87" s="33">
        <v>50</v>
      </c>
      <c r="D87" s="10"/>
      <c r="E87" s="10"/>
      <c r="F87" s="10"/>
      <c r="G87" s="10"/>
    </row>
    <row r="88" spans="1:7" x14ac:dyDescent="0.25">
      <c r="A88" s="10" t="s">
        <v>71</v>
      </c>
      <c r="B88" s="14">
        <v>149307</v>
      </c>
      <c r="C88" s="33">
        <v>50</v>
      </c>
      <c r="D88" s="10"/>
      <c r="E88" s="10"/>
      <c r="F88" s="10"/>
      <c r="G88" s="10"/>
    </row>
    <row r="89" spans="1:7" x14ac:dyDescent="0.25">
      <c r="A89" s="10" t="s">
        <v>72</v>
      </c>
      <c r="B89" s="14">
        <v>149308</v>
      </c>
      <c r="C89" s="33">
        <v>50</v>
      </c>
      <c r="D89" s="10"/>
      <c r="E89" s="10"/>
      <c r="F89" s="10"/>
      <c r="G89" s="10"/>
    </row>
    <row r="90" spans="1:7" x14ac:dyDescent="0.25">
      <c r="A90" s="10" t="s">
        <v>73</v>
      </c>
      <c r="B90" s="14">
        <v>149309</v>
      </c>
      <c r="C90" s="33">
        <v>50</v>
      </c>
      <c r="D90" s="10"/>
      <c r="E90" s="10"/>
      <c r="F90" s="10"/>
      <c r="G90" s="10"/>
    </row>
    <row r="91" spans="1:7" x14ac:dyDescent="0.25">
      <c r="A91" s="10" t="s">
        <v>74</v>
      </c>
      <c r="B91" s="14">
        <v>149310</v>
      </c>
      <c r="C91" s="33">
        <v>50</v>
      </c>
      <c r="D91" s="10"/>
      <c r="E91" s="10"/>
      <c r="F91" s="10"/>
      <c r="G91" s="10"/>
    </row>
    <row r="92" spans="1:7" x14ac:dyDescent="0.25">
      <c r="A92" s="10" t="s">
        <v>75</v>
      </c>
      <c r="B92" s="14">
        <v>149311</v>
      </c>
      <c r="C92" s="33">
        <v>50</v>
      </c>
      <c r="D92" s="10"/>
      <c r="E92" s="10"/>
      <c r="F92" s="10"/>
      <c r="G92" s="10"/>
    </row>
    <row r="93" spans="1:7" x14ac:dyDescent="0.25">
      <c r="A93" s="10" t="s">
        <v>31</v>
      </c>
      <c r="B93" s="14">
        <v>149312</v>
      </c>
      <c r="C93" s="33">
        <v>50</v>
      </c>
      <c r="D93" s="10"/>
      <c r="E93" s="10"/>
      <c r="F93" s="10"/>
      <c r="G93" s="10"/>
    </row>
    <row r="94" spans="1:7" x14ac:dyDescent="0.25">
      <c r="A94" s="10" t="s">
        <v>76</v>
      </c>
      <c r="B94" s="14">
        <v>149313</v>
      </c>
      <c r="C94" s="33">
        <v>50</v>
      </c>
      <c r="D94" s="10"/>
      <c r="E94" s="10"/>
      <c r="F94" s="10"/>
      <c r="G94" s="10"/>
    </row>
    <row r="95" spans="1:7" x14ac:dyDescent="0.25">
      <c r="A95" s="10" t="s">
        <v>77</v>
      </c>
      <c r="B95" s="14">
        <v>149314</v>
      </c>
      <c r="C95" s="33">
        <v>50</v>
      </c>
      <c r="D95" s="10"/>
      <c r="E95" s="10"/>
      <c r="F95" s="10"/>
      <c r="G95" s="10"/>
    </row>
    <row r="96" spans="1:7" x14ac:dyDescent="0.25">
      <c r="A96" s="10" t="s">
        <v>23</v>
      </c>
      <c r="B96" s="14">
        <v>149315</v>
      </c>
      <c r="C96" s="33">
        <v>50</v>
      </c>
      <c r="D96" s="10"/>
      <c r="E96" s="10"/>
      <c r="F96" s="10"/>
      <c r="G96" s="10"/>
    </row>
    <row r="97" spans="1:7" x14ac:dyDescent="0.25">
      <c r="A97" s="10" t="s">
        <v>78</v>
      </c>
      <c r="B97" s="14">
        <v>149316</v>
      </c>
      <c r="C97" s="33">
        <v>50</v>
      </c>
      <c r="D97" s="10"/>
      <c r="E97" s="10"/>
      <c r="F97" s="10"/>
      <c r="G97" s="10"/>
    </row>
    <row r="98" spans="1:7" x14ac:dyDescent="0.25">
      <c r="A98" s="10" t="s">
        <v>79</v>
      </c>
      <c r="B98" s="14">
        <v>149317</v>
      </c>
      <c r="C98" s="33">
        <v>50</v>
      </c>
      <c r="D98" s="10"/>
      <c r="E98" s="10"/>
      <c r="F98" s="10"/>
      <c r="G98" s="10"/>
    </row>
    <row r="99" spans="1:7" x14ac:dyDescent="0.25">
      <c r="A99" s="17" t="s">
        <v>26</v>
      </c>
      <c r="B99" s="18">
        <v>5892510000</v>
      </c>
      <c r="C99" s="37">
        <v>50</v>
      </c>
      <c r="D99" s="10"/>
      <c r="E99" s="10"/>
      <c r="F99" s="10"/>
      <c r="G99" s="10"/>
    </row>
    <row r="100" spans="1:7" x14ac:dyDescent="0.25">
      <c r="A100" s="10"/>
      <c r="B100" s="10"/>
      <c r="C100" s="32"/>
      <c r="D100" s="10"/>
      <c r="E100" s="10"/>
      <c r="F100" s="10"/>
      <c r="G100" s="10"/>
    </row>
    <row r="101" spans="1:7" x14ac:dyDescent="0.25">
      <c r="A101" s="10" t="s">
        <v>93</v>
      </c>
      <c r="B101" s="10"/>
      <c r="C101" s="32"/>
      <c r="D101" s="10"/>
      <c r="E101" s="10"/>
      <c r="F101" s="10"/>
      <c r="G101" s="10"/>
    </row>
    <row r="102" spans="1:7" x14ac:dyDescent="0.25">
      <c r="A102" s="31" t="s">
        <v>224</v>
      </c>
      <c r="B102" s="31">
        <v>686010</v>
      </c>
      <c r="C102" s="38">
        <v>9</v>
      </c>
      <c r="D102" s="10"/>
      <c r="E102" s="10"/>
      <c r="F102" s="10"/>
      <c r="G102" s="10"/>
    </row>
    <row r="103" spans="1:7" x14ac:dyDescent="0.25">
      <c r="A103" s="31" t="s">
        <v>225</v>
      </c>
      <c r="B103" s="31">
        <v>686013</v>
      </c>
      <c r="C103" s="38">
        <v>9</v>
      </c>
      <c r="D103" s="10"/>
      <c r="E103" s="10"/>
      <c r="F103" s="10"/>
      <c r="G103" s="10"/>
    </row>
    <row r="104" spans="1:7" x14ac:dyDescent="0.25">
      <c r="A104" s="31" t="s">
        <v>226</v>
      </c>
      <c r="B104" s="31">
        <v>686312</v>
      </c>
      <c r="C104" s="38">
        <v>9</v>
      </c>
      <c r="D104" s="10"/>
      <c r="E104" s="10"/>
      <c r="F104" s="10"/>
      <c r="G104" s="10"/>
    </row>
    <row r="105" spans="1:7" x14ac:dyDescent="0.25">
      <c r="A105" s="31" t="s">
        <v>227</v>
      </c>
      <c r="B105" s="31">
        <v>686675</v>
      </c>
      <c r="C105" s="38">
        <v>9</v>
      </c>
      <c r="D105" s="10"/>
      <c r="E105" s="10"/>
      <c r="F105" s="10"/>
      <c r="G105" s="10"/>
    </row>
    <row r="106" spans="1:7" x14ac:dyDescent="0.25">
      <c r="A106" s="19" t="s">
        <v>92</v>
      </c>
      <c r="B106" s="18">
        <v>240909</v>
      </c>
      <c r="C106" s="37">
        <v>120</v>
      </c>
      <c r="D106" s="10"/>
      <c r="E106" s="10"/>
      <c r="F106" s="10"/>
      <c r="G106" s="10"/>
    </row>
    <row r="107" spans="1:7" x14ac:dyDescent="0.25">
      <c r="A107" s="10"/>
      <c r="B107" s="10"/>
      <c r="C107" s="32"/>
      <c r="D107" s="10"/>
      <c r="E107" s="10"/>
      <c r="F107" s="10"/>
      <c r="G107" s="10"/>
    </row>
    <row r="108" spans="1:7" x14ac:dyDescent="0.25">
      <c r="A108" s="19" t="s">
        <v>94</v>
      </c>
      <c r="B108" s="10"/>
      <c r="C108" s="32"/>
      <c r="D108" s="10"/>
      <c r="E108" s="10"/>
      <c r="F108" s="10"/>
      <c r="G108" s="10"/>
    </row>
    <row r="109" spans="1:7" x14ac:dyDescent="0.25">
      <c r="A109" s="19" t="s">
        <v>95</v>
      </c>
      <c r="B109" s="18">
        <v>6893021000</v>
      </c>
      <c r="C109" s="37">
        <v>28.75</v>
      </c>
      <c r="D109" s="10"/>
      <c r="E109" s="10"/>
      <c r="F109" s="10"/>
      <c r="G109" s="10"/>
    </row>
    <row r="110" spans="1:7" x14ac:dyDescent="0.25">
      <c r="A110" s="19" t="s">
        <v>96</v>
      </c>
      <c r="B110" s="18">
        <v>128003</v>
      </c>
      <c r="C110" s="37">
        <v>100</v>
      </c>
      <c r="D110" s="10"/>
      <c r="E110" s="10"/>
      <c r="F110" s="10"/>
      <c r="G110" s="10"/>
    </row>
    <row r="111" spans="1:7" x14ac:dyDescent="0.25">
      <c r="A111" s="19" t="s">
        <v>30</v>
      </c>
      <c r="B111" s="18">
        <v>130091</v>
      </c>
      <c r="C111" s="37">
        <v>71.3</v>
      </c>
      <c r="D111" s="10"/>
      <c r="E111" s="10"/>
      <c r="F111" s="10"/>
      <c r="G111" s="10"/>
    </row>
    <row r="112" spans="1:7" x14ac:dyDescent="0.25">
      <c r="A112" s="19" t="s">
        <v>16</v>
      </c>
      <c r="B112" s="18">
        <v>123367</v>
      </c>
      <c r="C112" s="37">
        <v>57.5</v>
      </c>
      <c r="D112" s="10"/>
      <c r="E112" s="10"/>
      <c r="F112" s="10"/>
      <c r="G112" s="10"/>
    </row>
    <row r="113" spans="1:7" x14ac:dyDescent="0.25">
      <c r="A113" s="19" t="s">
        <v>97</v>
      </c>
      <c r="B113" s="18">
        <v>123328</v>
      </c>
      <c r="C113" s="37">
        <v>90.85</v>
      </c>
      <c r="D113" s="10"/>
      <c r="E113" s="10"/>
      <c r="F113" s="10"/>
      <c r="G113" s="10"/>
    </row>
    <row r="114" spans="1:7" x14ac:dyDescent="0.25">
      <c r="A114" s="19" t="s">
        <v>98</v>
      </c>
      <c r="B114" s="18">
        <v>123327</v>
      </c>
      <c r="C114" s="37">
        <v>86.25</v>
      </c>
      <c r="D114" s="10"/>
      <c r="E114" s="10"/>
      <c r="F114" s="10"/>
      <c r="G114" s="10"/>
    </row>
    <row r="115" spans="1:7" x14ac:dyDescent="0.25">
      <c r="A115" s="19" t="s">
        <v>99</v>
      </c>
      <c r="B115" s="18">
        <v>6893028000</v>
      </c>
      <c r="C115" s="37">
        <v>25.3</v>
      </c>
      <c r="D115" s="10"/>
      <c r="E115" s="10"/>
      <c r="F115" s="10"/>
      <c r="G115" s="10"/>
    </row>
    <row r="116" spans="1:7" x14ac:dyDescent="0.25">
      <c r="A116" s="10"/>
      <c r="B116" s="10"/>
      <c r="C116" s="32"/>
      <c r="D116" s="10"/>
      <c r="E116" s="10"/>
      <c r="F116" s="10"/>
      <c r="G116" s="10"/>
    </row>
    <row r="117" spans="1:7" x14ac:dyDescent="0.25">
      <c r="A117" s="19" t="s">
        <v>100</v>
      </c>
      <c r="B117" s="10"/>
      <c r="C117" s="32"/>
      <c r="D117" s="10"/>
      <c r="E117" s="10"/>
      <c r="F117" s="10"/>
      <c r="G117" s="10"/>
    </row>
    <row r="118" spans="1:7" x14ac:dyDescent="0.25">
      <c r="A118" s="19" t="s">
        <v>101</v>
      </c>
      <c r="B118" s="18">
        <v>8902125000</v>
      </c>
      <c r="C118" s="37">
        <v>9.92</v>
      </c>
      <c r="D118" s="10"/>
      <c r="E118" s="10"/>
      <c r="F118" s="10"/>
      <c r="G118" s="10"/>
    </row>
    <row r="119" spans="1:7" x14ac:dyDescent="0.25">
      <c r="A119" s="19" t="s">
        <v>102</v>
      </c>
      <c r="B119" s="18">
        <v>8902129000</v>
      </c>
      <c r="C119" s="37">
        <v>17.920000000000002</v>
      </c>
      <c r="D119" s="10"/>
      <c r="E119" s="10"/>
      <c r="F119" s="10"/>
      <c r="G119" s="10"/>
    </row>
    <row r="120" spans="1:7" x14ac:dyDescent="0.25">
      <c r="A120" s="19" t="s">
        <v>103</v>
      </c>
      <c r="B120" s="18">
        <v>120313</v>
      </c>
      <c r="C120" s="37">
        <v>63.13</v>
      </c>
      <c r="D120" s="10"/>
      <c r="E120" s="10"/>
      <c r="F120" s="10"/>
      <c r="G120" s="10"/>
    </row>
    <row r="121" spans="1:7" x14ac:dyDescent="0.25">
      <c r="A121" s="19" t="s">
        <v>104</v>
      </c>
      <c r="B121" s="18">
        <v>118890</v>
      </c>
      <c r="C121" s="37">
        <v>12.51</v>
      </c>
      <c r="D121" s="10"/>
      <c r="E121" s="10"/>
      <c r="F121" s="10"/>
      <c r="G121" s="10"/>
    </row>
    <row r="122" spans="1:7" x14ac:dyDescent="0.25">
      <c r="A122" s="19" t="s">
        <v>105</v>
      </c>
      <c r="B122" s="18">
        <v>8906023000</v>
      </c>
      <c r="C122" s="37">
        <v>8</v>
      </c>
      <c r="D122" s="10"/>
      <c r="E122" s="10"/>
      <c r="F122" s="10"/>
      <c r="G122" s="10"/>
    </row>
    <row r="123" spans="1:7" x14ac:dyDescent="0.25">
      <c r="A123" s="19" t="s">
        <v>106</v>
      </c>
      <c r="B123" s="18">
        <v>8250123000</v>
      </c>
      <c r="C123" s="37">
        <v>8</v>
      </c>
      <c r="D123" s="10"/>
      <c r="E123" s="10"/>
      <c r="F123" s="10"/>
      <c r="G123" s="10"/>
    </row>
    <row r="124" spans="1:7" x14ac:dyDescent="0.25">
      <c r="A124" s="19" t="s">
        <v>107</v>
      </c>
      <c r="B124" s="18">
        <v>8902227000</v>
      </c>
      <c r="C124" s="37">
        <v>6</v>
      </c>
      <c r="D124" s="10"/>
      <c r="E124" s="10"/>
      <c r="F124" s="10"/>
      <c r="G124" s="10"/>
    </row>
    <row r="125" spans="1:7" x14ac:dyDescent="0.25">
      <c r="A125" s="19" t="s">
        <v>108</v>
      </c>
      <c r="B125" s="18">
        <v>8250109203</v>
      </c>
      <c r="C125" s="37">
        <v>4.1500000000000004</v>
      </c>
      <c r="D125" s="10"/>
      <c r="E125" s="10"/>
      <c r="F125" s="10"/>
      <c r="G125" s="10"/>
    </row>
    <row r="126" spans="1:7" x14ac:dyDescent="0.25">
      <c r="A126" s="19" t="s">
        <v>109</v>
      </c>
      <c r="B126" s="18">
        <v>8250121000</v>
      </c>
      <c r="C126" s="37">
        <v>8.24</v>
      </c>
      <c r="D126" s="10"/>
      <c r="E126" s="10"/>
      <c r="F126" s="10"/>
      <c r="G126" s="10"/>
    </row>
    <row r="127" spans="1:7" x14ac:dyDescent="0.25">
      <c r="A127" s="19" t="s">
        <v>110</v>
      </c>
      <c r="B127" s="18">
        <v>8250109800</v>
      </c>
      <c r="C127" s="37">
        <v>7.14</v>
      </c>
      <c r="D127" s="10"/>
      <c r="E127" s="10"/>
      <c r="F127" s="10"/>
      <c r="G127" s="10"/>
    </row>
    <row r="128" spans="1:7" x14ac:dyDescent="0.25">
      <c r="A128" s="19" t="s">
        <v>111</v>
      </c>
      <c r="B128" s="18">
        <v>121563</v>
      </c>
      <c r="C128" s="37">
        <v>12.25</v>
      </c>
      <c r="D128" s="10"/>
      <c r="E128" s="10"/>
      <c r="F128" s="10"/>
      <c r="G128" s="10"/>
    </row>
    <row r="129" spans="1:7" x14ac:dyDescent="0.25">
      <c r="A129" s="19" t="s">
        <v>112</v>
      </c>
      <c r="B129" s="18">
        <v>8902177002</v>
      </c>
      <c r="C129" s="37">
        <v>10.29</v>
      </c>
      <c r="D129" s="10"/>
      <c r="E129" s="10"/>
      <c r="F129" s="10"/>
      <c r="G129" s="10"/>
    </row>
    <row r="130" spans="1:7" x14ac:dyDescent="0.25">
      <c r="A130" s="19" t="s">
        <v>113</v>
      </c>
      <c r="B130" s="18">
        <v>143070</v>
      </c>
      <c r="C130" s="37">
        <v>12.52</v>
      </c>
      <c r="D130" s="10"/>
      <c r="E130" s="10"/>
      <c r="F130" s="10"/>
      <c r="G130" s="10"/>
    </row>
    <row r="131" spans="1:7" x14ac:dyDescent="0.25">
      <c r="A131" s="10"/>
      <c r="B131" s="10"/>
      <c r="C131" s="32"/>
      <c r="D131" s="10"/>
      <c r="E131" s="10"/>
      <c r="F131" s="10"/>
      <c r="G131" s="10"/>
    </row>
    <row r="132" spans="1:7" x14ac:dyDescent="0.25">
      <c r="A132" s="19" t="s">
        <v>114</v>
      </c>
      <c r="B132" s="10"/>
      <c r="C132" s="32"/>
      <c r="D132" s="10"/>
      <c r="E132" s="10"/>
      <c r="F132" s="10"/>
      <c r="G132" s="10"/>
    </row>
    <row r="133" spans="1:7" x14ac:dyDescent="0.25">
      <c r="A133" s="19" t="s">
        <v>115</v>
      </c>
      <c r="B133" s="18">
        <v>125718</v>
      </c>
      <c r="C133" s="37">
        <v>248.04</v>
      </c>
      <c r="D133" s="10"/>
      <c r="E133" s="10"/>
      <c r="F133" s="10"/>
      <c r="G133" s="10"/>
    </row>
    <row r="134" spans="1:7" x14ac:dyDescent="0.25">
      <c r="A134" s="19" t="s">
        <v>116</v>
      </c>
      <c r="B134" s="18">
        <v>8900115808</v>
      </c>
      <c r="C134" s="37">
        <v>59.07</v>
      </c>
      <c r="D134" s="10"/>
      <c r="E134" s="10"/>
      <c r="F134" s="10"/>
      <c r="G134" s="10"/>
    </row>
    <row r="135" spans="1:7" x14ac:dyDescent="0.25">
      <c r="A135" s="19" t="s">
        <v>117</v>
      </c>
      <c r="B135" s="18">
        <v>8900205102</v>
      </c>
      <c r="C135" s="37">
        <v>17.25</v>
      </c>
      <c r="D135" s="10"/>
      <c r="E135" s="10"/>
      <c r="F135" s="10"/>
      <c r="G135" s="10"/>
    </row>
    <row r="136" spans="1:7" x14ac:dyDescent="0.25">
      <c r="A136" s="19" t="s">
        <v>118</v>
      </c>
      <c r="B136" s="18">
        <v>7825015004</v>
      </c>
      <c r="C136" s="37">
        <v>782.56</v>
      </c>
      <c r="D136" s="10"/>
      <c r="E136" s="10"/>
      <c r="F136" s="10"/>
      <c r="G136" s="10"/>
    </row>
    <row r="137" spans="1:7" x14ac:dyDescent="0.25">
      <c r="A137" s="19" t="s">
        <v>119</v>
      </c>
      <c r="B137" s="18">
        <v>175547</v>
      </c>
      <c r="C137" s="37">
        <v>662.22</v>
      </c>
      <c r="D137" s="10"/>
      <c r="E137" s="10"/>
      <c r="F137" s="10"/>
      <c r="G137" s="10"/>
    </row>
    <row r="138" spans="1:7" x14ac:dyDescent="0.25">
      <c r="A138" s="19" t="s">
        <v>120</v>
      </c>
      <c r="B138" s="18">
        <v>8900102709</v>
      </c>
      <c r="C138" s="37">
        <v>181.98</v>
      </c>
      <c r="D138" s="10"/>
      <c r="E138" s="10"/>
      <c r="F138" s="10"/>
      <c r="G138" s="10"/>
    </row>
    <row r="139" spans="1:7" x14ac:dyDescent="0.25">
      <c r="A139" s="19" t="s">
        <v>121</v>
      </c>
      <c r="B139" s="18">
        <v>8901020100</v>
      </c>
      <c r="C139" s="37">
        <v>32.200000000000003</v>
      </c>
      <c r="D139" s="10"/>
      <c r="E139" s="10"/>
      <c r="F139" s="10"/>
      <c r="G139" s="10"/>
    </row>
    <row r="140" spans="1:7" x14ac:dyDescent="0.25">
      <c r="A140" s="19" t="s">
        <v>122</v>
      </c>
      <c r="B140" s="18">
        <v>8900105302</v>
      </c>
      <c r="C140" s="37">
        <v>38</v>
      </c>
      <c r="D140" s="10"/>
      <c r="E140" s="10"/>
      <c r="F140" s="10"/>
      <c r="G140" s="10"/>
    </row>
    <row r="141" spans="1:7" x14ac:dyDescent="0.25">
      <c r="A141" s="19" t="s">
        <v>123</v>
      </c>
      <c r="B141" s="18">
        <v>5730002008</v>
      </c>
      <c r="C141" s="37">
        <v>38.67</v>
      </c>
      <c r="D141" s="10"/>
      <c r="E141" s="10"/>
      <c r="F141" s="10"/>
      <c r="G141" s="10"/>
    </row>
    <row r="142" spans="1:7" x14ac:dyDescent="0.25">
      <c r="A142" s="19" t="s">
        <v>124</v>
      </c>
      <c r="B142" s="18">
        <v>9002101709</v>
      </c>
      <c r="C142" s="37">
        <v>28.75</v>
      </c>
      <c r="D142" s="10"/>
      <c r="E142" s="10"/>
      <c r="F142" s="10"/>
      <c r="G142" s="10"/>
    </row>
    <row r="143" spans="1:7" x14ac:dyDescent="0.25">
      <c r="A143" s="19" t="s">
        <v>125</v>
      </c>
      <c r="B143" s="18">
        <v>5720101006</v>
      </c>
      <c r="C143" s="37">
        <v>177.1</v>
      </c>
      <c r="D143" s="10"/>
      <c r="E143" s="10"/>
      <c r="F143" s="10"/>
      <c r="G143" s="10"/>
    </row>
    <row r="144" spans="1:7" x14ac:dyDescent="0.25">
      <c r="A144" s="19" t="s">
        <v>126</v>
      </c>
      <c r="B144" s="18">
        <v>93301009</v>
      </c>
      <c r="C144" s="37">
        <v>3.45</v>
      </c>
      <c r="D144" s="10"/>
      <c r="E144" s="10"/>
      <c r="F144" s="10"/>
      <c r="G144" s="10"/>
    </row>
    <row r="145" spans="1:7" x14ac:dyDescent="0.25">
      <c r="A145" s="19" t="s">
        <v>127</v>
      </c>
      <c r="B145" s="18">
        <v>8243301301</v>
      </c>
      <c r="C145" s="37">
        <v>219.55</v>
      </c>
      <c r="D145" s="10"/>
      <c r="E145" s="10"/>
      <c r="F145" s="10"/>
      <c r="G145" s="10"/>
    </row>
    <row r="146" spans="1:7" x14ac:dyDescent="0.25">
      <c r="A146" s="10"/>
      <c r="B146" s="10"/>
      <c r="C146" s="32"/>
      <c r="D146" s="10"/>
      <c r="E146" s="10"/>
      <c r="F146" s="10"/>
      <c r="G146" s="10"/>
    </row>
    <row r="147" spans="1:7" x14ac:dyDescent="0.25">
      <c r="A147" s="19" t="s">
        <v>128</v>
      </c>
      <c r="B147" s="10"/>
      <c r="C147" s="32"/>
      <c r="D147" s="10"/>
      <c r="E147" s="10"/>
      <c r="F147" s="10"/>
      <c r="G147" s="10"/>
    </row>
    <row r="148" spans="1:7" x14ac:dyDescent="0.25">
      <c r="A148" s="20" t="s">
        <v>129</v>
      </c>
      <c r="B148" s="14">
        <v>137859</v>
      </c>
      <c r="C148" s="33">
        <v>11.5</v>
      </c>
      <c r="D148" s="10"/>
      <c r="E148" s="10"/>
      <c r="F148" s="10"/>
      <c r="G148" s="10"/>
    </row>
    <row r="149" spans="1:7" x14ac:dyDescent="0.25">
      <c r="A149" s="20" t="s">
        <v>130</v>
      </c>
      <c r="B149" s="14">
        <v>137861</v>
      </c>
      <c r="C149" s="33">
        <v>11.5</v>
      </c>
      <c r="D149" s="10"/>
      <c r="E149" s="10"/>
      <c r="F149" s="10"/>
      <c r="G149" s="10"/>
    </row>
    <row r="150" spans="1:7" x14ac:dyDescent="0.25">
      <c r="A150" s="20" t="s">
        <v>131</v>
      </c>
      <c r="B150" s="14">
        <v>135417</v>
      </c>
      <c r="C150" s="33">
        <v>11.5</v>
      </c>
      <c r="D150" s="10"/>
      <c r="E150" s="10"/>
      <c r="F150" s="10"/>
      <c r="G150" s="10"/>
    </row>
    <row r="151" spans="1:7" x14ac:dyDescent="0.25">
      <c r="A151" s="20" t="s">
        <v>132</v>
      </c>
      <c r="B151" s="14">
        <v>137826</v>
      </c>
      <c r="C151" s="33">
        <v>11.5</v>
      </c>
      <c r="D151" s="10"/>
      <c r="E151" s="10"/>
      <c r="F151" s="10"/>
      <c r="G151" s="10"/>
    </row>
    <row r="152" spans="1:7" x14ac:dyDescent="0.25">
      <c r="A152" s="20" t="s">
        <v>133</v>
      </c>
      <c r="B152" s="14">
        <v>209647</v>
      </c>
      <c r="C152" s="33">
        <v>11.5</v>
      </c>
      <c r="D152" s="10"/>
      <c r="E152" s="10"/>
      <c r="F152" s="10"/>
      <c r="G152" s="10"/>
    </row>
    <row r="153" spans="1:7" x14ac:dyDescent="0.25">
      <c r="A153" s="20" t="s">
        <v>134</v>
      </c>
      <c r="B153" s="14">
        <v>209648</v>
      </c>
      <c r="C153" s="33">
        <v>11.5</v>
      </c>
      <c r="D153" s="10"/>
      <c r="E153" s="10"/>
      <c r="F153" s="10"/>
      <c r="G153" s="10"/>
    </row>
    <row r="154" spans="1:7" x14ac:dyDescent="0.25">
      <c r="A154" s="20" t="s">
        <v>135</v>
      </c>
      <c r="B154" s="14">
        <v>173685</v>
      </c>
      <c r="C154" s="33">
        <v>11.5</v>
      </c>
      <c r="D154" s="10"/>
      <c r="E154" s="10"/>
      <c r="F154" s="10"/>
      <c r="G154" s="10"/>
    </row>
    <row r="155" spans="1:7" x14ac:dyDescent="0.25">
      <c r="A155" s="20" t="s">
        <v>136</v>
      </c>
      <c r="B155" s="14">
        <v>173686</v>
      </c>
      <c r="C155" s="33">
        <v>11.5</v>
      </c>
      <c r="D155" s="10"/>
      <c r="E155" s="10"/>
      <c r="F155" s="10"/>
      <c r="G155" s="10"/>
    </row>
    <row r="156" spans="1:7" x14ac:dyDescent="0.25">
      <c r="A156" s="20" t="s">
        <v>137</v>
      </c>
      <c r="B156" s="14">
        <v>5710538000</v>
      </c>
      <c r="C156" s="33">
        <v>11.5</v>
      </c>
      <c r="D156" s="10"/>
      <c r="E156" s="10"/>
      <c r="F156" s="10"/>
      <c r="G156" s="10"/>
    </row>
    <row r="157" spans="1:7" x14ac:dyDescent="0.25">
      <c r="A157" s="20" t="s">
        <v>138</v>
      </c>
      <c r="B157" s="14">
        <v>5710113000</v>
      </c>
      <c r="C157" s="33">
        <v>66.680000000000007</v>
      </c>
      <c r="D157" s="10"/>
      <c r="E157" s="10"/>
      <c r="F157" s="10"/>
      <c r="G157" s="10"/>
    </row>
    <row r="158" spans="1:7" x14ac:dyDescent="0.25">
      <c r="A158" s="20" t="s">
        <v>139</v>
      </c>
      <c r="B158" s="14">
        <v>5710114000</v>
      </c>
      <c r="C158" s="33">
        <v>11.5</v>
      </c>
      <c r="D158" s="10"/>
      <c r="E158" s="10"/>
      <c r="F158" s="10"/>
      <c r="G158" s="10"/>
    </row>
    <row r="159" spans="1:7" x14ac:dyDescent="0.25">
      <c r="A159" s="10"/>
      <c r="B159" s="10"/>
      <c r="C159" s="32"/>
      <c r="D159" s="10"/>
      <c r="E159" s="10"/>
      <c r="F159" s="10"/>
      <c r="G159" s="10"/>
    </row>
    <row r="160" spans="1:7" x14ac:dyDescent="0.25">
      <c r="A160" s="20" t="s">
        <v>156</v>
      </c>
      <c r="B160" s="10"/>
      <c r="C160" s="32"/>
      <c r="D160" s="10"/>
      <c r="E160" s="10"/>
      <c r="F160" s="10"/>
      <c r="G160" s="10"/>
    </row>
    <row r="161" spans="1:7" x14ac:dyDescent="0.25">
      <c r="A161" s="19" t="s">
        <v>157</v>
      </c>
      <c r="B161" s="18">
        <v>144605</v>
      </c>
      <c r="C161" s="37">
        <v>700</v>
      </c>
      <c r="D161" s="10"/>
      <c r="E161" s="10"/>
      <c r="F161" s="10"/>
      <c r="G161" s="10"/>
    </row>
    <row r="162" spans="1:7" x14ac:dyDescent="0.25">
      <c r="A162" s="19" t="s">
        <v>158</v>
      </c>
      <c r="B162" s="18">
        <v>145646</v>
      </c>
      <c r="C162" s="37">
        <v>550</v>
      </c>
      <c r="D162" s="10"/>
      <c r="E162" s="10"/>
      <c r="F162" s="10"/>
      <c r="G162" s="10"/>
    </row>
    <row r="163" spans="1:7" x14ac:dyDescent="0.25">
      <c r="A163" s="19" t="s">
        <v>159</v>
      </c>
      <c r="B163" s="18">
        <v>139770</v>
      </c>
      <c r="C163" s="37">
        <v>350</v>
      </c>
      <c r="D163" s="10"/>
      <c r="E163" s="10"/>
      <c r="F163" s="10"/>
      <c r="G163" s="10"/>
    </row>
    <row r="164" spans="1:7" x14ac:dyDescent="0.25">
      <c r="A164" s="19" t="s">
        <v>160</v>
      </c>
      <c r="B164" s="18">
        <v>179320</v>
      </c>
      <c r="C164" s="37">
        <v>700</v>
      </c>
      <c r="D164" s="10"/>
      <c r="E164" s="10"/>
      <c r="F164" s="10"/>
      <c r="G164" s="10"/>
    </row>
    <row r="165" spans="1:7" x14ac:dyDescent="0.25">
      <c r="A165" s="19" t="s">
        <v>161</v>
      </c>
      <c r="B165" s="18">
        <v>168633</v>
      </c>
      <c r="C165" s="37">
        <v>700</v>
      </c>
      <c r="D165" s="10"/>
      <c r="E165" s="10"/>
      <c r="F165" s="10"/>
      <c r="G165" s="10"/>
    </row>
    <row r="166" spans="1:7" x14ac:dyDescent="0.25">
      <c r="A166" s="19" t="s">
        <v>162</v>
      </c>
      <c r="B166" s="18">
        <v>164369</v>
      </c>
      <c r="C166" s="37">
        <v>350</v>
      </c>
      <c r="D166" s="10"/>
      <c r="E166" s="10"/>
      <c r="F166" s="10"/>
      <c r="G166" s="10"/>
    </row>
    <row r="167" spans="1:7" x14ac:dyDescent="0.25">
      <c r="A167" s="19" t="s">
        <v>163</v>
      </c>
      <c r="B167" s="18">
        <v>177547</v>
      </c>
      <c r="C167" s="37">
        <v>800</v>
      </c>
      <c r="D167" s="10"/>
      <c r="E167" s="10"/>
      <c r="F167" s="10"/>
      <c r="G167" s="10"/>
    </row>
    <row r="168" spans="1:7" x14ac:dyDescent="0.25">
      <c r="A168" s="10"/>
      <c r="B168" s="10"/>
      <c r="C168" s="32"/>
      <c r="D168" s="10"/>
      <c r="E168" s="10"/>
      <c r="F168" s="10"/>
      <c r="G168" s="10"/>
    </row>
    <row r="169" spans="1:7" x14ac:dyDescent="0.25">
      <c r="A169" s="19" t="s">
        <v>164</v>
      </c>
      <c r="B169" s="10"/>
      <c r="C169" s="32"/>
      <c r="D169" s="10"/>
      <c r="E169" s="10"/>
      <c r="F169" s="10"/>
      <c r="G169" s="10"/>
    </row>
    <row r="170" spans="1:7" x14ac:dyDescent="0.25">
      <c r="A170" s="19" t="s">
        <v>165</v>
      </c>
      <c r="B170" s="18">
        <v>214372</v>
      </c>
      <c r="C170" s="37">
        <v>170</v>
      </c>
      <c r="D170" s="10"/>
      <c r="E170" s="10"/>
      <c r="F170" s="10"/>
      <c r="G170" s="10"/>
    </row>
    <row r="171" spans="1:7" x14ac:dyDescent="0.25">
      <c r="A171" s="19" t="s">
        <v>166</v>
      </c>
      <c r="B171" s="18">
        <v>214463</v>
      </c>
      <c r="C171" s="37">
        <v>170</v>
      </c>
      <c r="D171" s="10"/>
      <c r="E171" s="10"/>
      <c r="F171" s="10"/>
      <c r="G171" s="10"/>
    </row>
    <row r="172" spans="1:7" x14ac:dyDescent="0.25">
      <c r="A172" s="19" t="s">
        <v>167</v>
      </c>
      <c r="B172" s="18">
        <v>3900118005</v>
      </c>
      <c r="C172" s="37">
        <v>180</v>
      </c>
      <c r="D172" s="10"/>
      <c r="E172" s="10"/>
      <c r="F172" s="10"/>
      <c r="G172" s="10"/>
    </row>
    <row r="173" spans="1:7" x14ac:dyDescent="0.25">
      <c r="A173" s="19" t="s">
        <v>168</v>
      </c>
      <c r="B173" s="18">
        <v>117468</v>
      </c>
      <c r="C173" s="37">
        <v>157</v>
      </c>
      <c r="D173" s="10"/>
      <c r="E173" s="10"/>
      <c r="F173" s="10"/>
      <c r="G173" s="10"/>
    </row>
    <row r="174" spans="1:7" x14ac:dyDescent="0.25">
      <c r="A174" s="19" t="s">
        <v>169</v>
      </c>
      <c r="B174" s="18">
        <v>3995053008</v>
      </c>
      <c r="C174" s="37">
        <v>218.19</v>
      </c>
      <c r="D174" s="10"/>
      <c r="E174" s="10"/>
      <c r="F174" s="10"/>
      <c r="G174" s="10"/>
    </row>
    <row r="175" spans="1:7" x14ac:dyDescent="0.25">
      <c r="A175" s="19" t="s">
        <v>170</v>
      </c>
      <c r="B175" s="18">
        <v>164237</v>
      </c>
      <c r="C175" s="37">
        <v>247.98</v>
      </c>
      <c r="D175" s="10"/>
      <c r="E175" s="10"/>
      <c r="F175" s="10"/>
      <c r="G175" s="10"/>
    </row>
    <row r="176" spans="1:7" x14ac:dyDescent="0.25">
      <c r="A176" s="10"/>
      <c r="B176" s="10"/>
      <c r="C176" s="32"/>
      <c r="D176" s="10"/>
      <c r="E176" s="10"/>
      <c r="F176" s="10"/>
      <c r="G176" s="10"/>
    </row>
    <row r="177" spans="1:7" x14ac:dyDescent="0.25">
      <c r="A177" s="19" t="s">
        <v>171</v>
      </c>
      <c r="B177" s="10"/>
      <c r="C177" s="32"/>
      <c r="D177" s="10"/>
      <c r="E177" s="10"/>
      <c r="F177" s="10"/>
      <c r="G177" s="10"/>
    </row>
    <row r="178" spans="1:7" x14ac:dyDescent="0.25">
      <c r="A178" s="19" t="s">
        <v>172</v>
      </c>
      <c r="B178" s="18">
        <v>8900101909</v>
      </c>
      <c r="C178" s="37">
        <v>50.38</v>
      </c>
      <c r="D178" s="10"/>
      <c r="E178" s="10"/>
      <c r="F178" s="10"/>
      <c r="G178" s="10"/>
    </row>
    <row r="179" spans="1:7" x14ac:dyDescent="0.25">
      <c r="A179" s="19" t="s">
        <v>173</v>
      </c>
      <c r="B179" s="18">
        <v>205490</v>
      </c>
      <c r="C179" s="37">
        <v>119.59</v>
      </c>
      <c r="D179" s="10"/>
      <c r="E179" s="10"/>
      <c r="F179" s="10"/>
      <c r="G179" s="10"/>
    </row>
    <row r="180" spans="1:7" x14ac:dyDescent="0.25">
      <c r="A180" s="19" t="s">
        <v>174</v>
      </c>
      <c r="B180" s="21" t="s">
        <v>176</v>
      </c>
      <c r="C180" s="37">
        <v>400</v>
      </c>
      <c r="D180" s="10"/>
      <c r="E180" s="10"/>
      <c r="F180" s="10"/>
      <c r="G180" s="10"/>
    </row>
    <row r="181" spans="1:7" x14ac:dyDescent="0.25">
      <c r="A181" s="19" t="s">
        <v>11</v>
      </c>
      <c r="B181" s="21" t="s">
        <v>10</v>
      </c>
      <c r="C181" s="37">
        <v>457.63</v>
      </c>
      <c r="D181" s="10"/>
      <c r="E181" s="10"/>
      <c r="F181" s="10"/>
      <c r="G181" s="10"/>
    </row>
    <row r="182" spans="1:7" x14ac:dyDescent="0.25">
      <c r="A182" s="19" t="s">
        <v>175</v>
      </c>
      <c r="B182" s="18">
        <v>8901015009</v>
      </c>
      <c r="C182" s="37">
        <v>18.5</v>
      </c>
      <c r="D182" s="10"/>
      <c r="E182" s="10"/>
      <c r="F182" s="10"/>
      <c r="G182" s="10"/>
    </row>
    <row r="183" spans="1:7" x14ac:dyDescent="0.25">
      <c r="A183" s="10"/>
      <c r="B183" s="10"/>
      <c r="C183" s="32">
        <v>46.39</v>
      </c>
      <c r="D183" s="10"/>
      <c r="E183" s="10"/>
      <c r="F183" s="10"/>
      <c r="G183" s="10"/>
    </row>
    <row r="184" spans="1:7" x14ac:dyDescent="0.25">
      <c r="A184" s="31" t="s">
        <v>211</v>
      </c>
      <c r="B184" s="31">
        <v>156557</v>
      </c>
      <c r="C184" s="38">
        <v>600</v>
      </c>
      <c r="D184" s="10"/>
      <c r="E184" s="10"/>
      <c r="F184" s="10"/>
      <c r="G184" s="10"/>
    </row>
    <row r="185" spans="1:7" x14ac:dyDescent="0.25">
      <c r="A185" s="31" t="s">
        <v>212</v>
      </c>
      <c r="B185" s="31">
        <v>152606</v>
      </c>
      <c r="C185" s="38">
        <v>650</v>
      </c>
      <c r="D185" s="10"/>
      <c r="E185" s="10"/>
      <c r="F185" s="10"/>
      <c r="G185" s="10"/>
    </row>
    <row r="186" spans="1:7" x14ac:dyDescent="0.25">
      <c r="A186" s="10"/>
      <c r="B186" s="10"/>
      <c r="C186" s="32"/>
      <c r="D186" s="10"/>
      <c r="E186" s="10"/>
      <c r="F186" s="10"/>
      <c r="G186" s="10"/>
    </row>
    <row r="187" spans="1:7" x14ac:dyDescent="0.25">
      <c r="A187" s="26" t="s">
        <v>216</v>
      </c>
      <c r="B187" s="25">
        <v>153923</v>
      </c>
      <c r="C187" s="39">
        <v>63.25</v>
      </c>
      <c r="D187" s="10"/>
      <c r="E187" s="10"/>
      <c r="F187" s="10"/>
      <c r="G187" s="10"/>
    </row>
    <row r="188" spans="1:7" x14ac:dyDescent="0.25">
      <c r="A188" s="26" t="s">
        <v>217</v>
      </c>
      <c r="B188" s="25">
        <v>153921</v>
      </c>
      <c r="C188" s="39">
        <v>63.25</v>
      </c>
      <c r="D188" s="10"/>
      <c r="E188" s="10"/>
      <c r="F188" s="10"/>
      <c r="G188" s="10"/>
    </row>
    <row r="189" spans="1:7" x14ac:dyDescent="0.25">
      <c r="A189" s="26" t="s">
        <v>218</v>
      </c>
      <c r="B189" s="25">
        <v>153919</v>
      </c>
      <c r="C189" s="39">
        <v>63.25</v>
      </c>
      <c r="D189" s="10"/>
      <c r="E189" s="10"/>
      <c r="F189" s="10"/>
      <c r="G189" s="10"/>
    </row>
    <row r="190" spans="1:7" x14ac:dyDescent="0.25">
      <c r="A190" s="26" t="s">
        <v>219</v>
      </c>
      <c r="B190" s="25">
        <v>153917</v>
      </c>
      <c r="C190" s="39">
        <v>63.25</v>
      </c>
      <c r="D190" s="10"/>
      <c r="E190" s="10"/>
      <c r="F190" s="10"/>
      <c r="G190" s="10"/>
    </row>
    <row r="191" spans="1:7" x14ac:dyDescent="0.25">
      <c r="A191" s="26" t="s">
        <v>220</v>
      </c>
      <c r="B191" s="25">
        <v>153924</v>
      </c>
      <c r="C191" s="39">
        <v>63.25</v>
      </c>
      <c r="D191" s="10"/>
      <c r="E191" s="10"/>
      <c r="F191" s="10"/>
      <c r="G191" s="10"/>
    </row>
    <row r="192" spans="1:7" x14ac:dyDescent="0.25">
      <c r="A192" s="26" t="s">
        <v>221</v>
      </c>
      <c r="B192" s="25">
        <v>153922</v>
      </c>
      <c r="C192" s="39">
        <v>63.25</v>
      </c>
      <c r="D192" s="10"/>
      <c r="E192" s="10"/>
      <c r="F192" s="10"/>
      <c r="G192" s="10"/>
    </row>
    <row r="193" spans="1:7" x14ac:dyDescent="0.25">
      <c r="A193" s="26" t="s">
        <v>222</v>
      </c>
      <c r="B193" s="25">
        <v>153920</v>
      </c>
      <c r="C193" s="39">
        <v>63.25</v>
      </c>
      <c r="D193" s="10"/>
      <c r="E193" s="10"/>
      <c r="F193" s="10"/>
      <c r="G193" s="10"/>
    </row>
    <row r="194" spans="1:7" x14ac:dyDescent="0.25">
      <c r="A194" s="26" t="s">
        <v>223</v>
      </c>
      <c r="B194" s="25">
        <v>153918</v>
      </c>
      <c r="C194" s="39">
        <v>63.25</v>
      </c>
      <c r="D194" s="10"/>
      <c r="E194" s="10"/>
      <c r="F194" s="10"/>
      <c r="G194" s="10"/>
    </row>
    <row r="195" spans="1:7" x14ac:dyDescent="0.25">
      <c r="A195" s="10"/>
      <c r="B195" s="10"/>
      <c r="C195" s="32"/>
      <c r="D195" s="10"/>
      <c r="E195" s="10"/>
      <c r="F195" s="10"/>
      <c r="G195" s="10"/>
    </row>
    <row r="196" spans="1:7" x14ac:dyDescent="0.25">
      <c r="A196" s="10"/>
      <c r="C196" s="40"/>
      <c r="D196" s="10"/>
      <c r="E196" s="10"/>
      <c r="F196" s="10"/>
      <c r="G196" s="10"/>
    </row>
    <row r="197" spans="1:7" x14ac:dyDescent="0.25">
      <c r="A197" s="10"/>
      <c r="C197" s="40"/>
      <c r="D197" s="10"/>
      <c r="E197" s="10"/>
      <c r="F197" s="10"/>
      <c r="G197" s="10"/>
    </row>
    <row r="198" spans="1:7" x14ac:dyDescent="0.25">
      <c r="A198" s="10"/>
      <c r="B198" s="10"/>
      <c r="C198" s="32"/>
      <c r="D198" s="10"/>
      <c r="E198" s="10"/>
      <c r="F198" s="10"/>
      <c r="G198" s="10"/>
    </row>
    <row r="199" spans="1:7" x14ac:dyDescent="0.25">
      <c r="A199" s="31" t="s">
        <v>224</v>
      </c>
      <c r="B199" s="31">
        <v>686010</v>
      </c>
      <c r="C199" s="38" t="e">
        <f>VLOOKUP(B199,[1]Sheet3!$C:$F,4,FALSE)</f>
        <v>#N/A</v>
      </c>
      <c r="D199" s="10"/>
      <c r="E199" s="10"/>
      <c r="F199" s="10"/>
      <c r="G199" s="10"/>
    </row>
    <row r="200" spans="1:7" x14ac:dyDescent="0.25">
      <c r="A200" s="31" t="s">
        <v>225</v>
      </c>
      <c r="B200" s="31">
        <v>686013</v>
      </c>
      <c r="C200" s="38" t="e">
        <f>VLOOKUP(B200,[1]Sheet3!$C:$F,4,FALSE)</f>
        <v>#N/A</v>
      </c>
      <c r="D200" s="10"/>
      <c r="E200" s="10"/>
      <c r="F200" s="10"/>
      <c r="G200" s="10"/>
    </row>
    <row r="201" spans="1:7" x14ac:dyDescent="0.25">
      <c r="A201" s="31" t="s">
        <v>226</v>
      </c>
      <c r="B201" s="31">
        <v>686312</v>
      </c>
      <c r="C201" s="38" t="e">
        <f>VLOOKUP(B201,[1]Sheet3!$C:$F,4,FALSE)</f>
        <v>#N/A</v>
      </c>
      <c r="D201" s="10"/>
      <c r="E201" s="10"/>
      <c r="F201" s="10"/>
      <c r="G201" s="10"/>
    </row>
    <row r="202" spans="1:7" x14ac:dyDescent="0.25">
      <c r="A202" s="31" t="s">
        <v>227</v>
      </c>
      <c r="B202" s="31">
        <v>686675</v>
      </c>
      <c r="C202" s="38" t="e">
        <f>VLOOKUP(B202,[1]Sheet3!$C:$F,4,FALSE)</f>
        <v>#N/A</v>
      </c>
      <c r="D202" s="10"/>
      <c r="E202" s="10"/>
      <c r="F202" s="10"/>
      <c r="G202" s="1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0A3D-7E09-41AB-BFFB-C8382126728B}">
  <dimension ref="A1"/>
  <sheetViews>
    <sheetView workbookViewId="0">
      <selection activeCell="A6" sqref="A6"/>
    </sheetView>
  </sheetViews>
  <sheetFormatPr defaultRowHeight="15" x14ac:dyDescent="0.25"/>
  <cols>
    <col min="1" max="1" width="113.42578125" customWidth="1"/>
  </cols>
  <sheetData>
    <row r="1" spans="1:1" ht="199.5" customHeight="1" x14ac:dyDescent="0.25">
      <c r="A1" s="51" t="s">
        <v>245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22EA-224E-4E5E-B7D7-8B38704054C2}">
  <dimension ref="A1"/>
  <sheetViews>
    <sheetView workbookViewId="0">
      <selection activeCell="D1" sqref="D1"/>
    </sheetView>
  </sheetViews>
  <sheetFormatPr defaultRowHeight="15" x14ac:dyDescent="0.25"/>
  <sheetData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0D35-A19D-473B-B859-6359FAB5AA6C}">
  <dimension ref="A3:I204"/>
  <sheetViews>
    <sheetView showGridLines="0" workbookViewId="0">
      <selection activeCell="G12" sqref="G12"/>
    </sheetView>
  </sheetViews>
  <sheetFormatPr defaultColWidth="8.85546875" defaultRowHeight="15" x14ac:dyDescent="0.25"/>
  <cols>
    <col min="1" max="1" width="8.85546875" style="10"/>
    <col min="2" max="2" width="44.140625" style="10" bestFit="1" customWidth="1"/>
    <col min="3" max="3" width="11" style="10" bestFit="1" customWidth="1"/>
    <col min="4" max="4" width="11" style="32" bestFit="1" customWidth="1"/>
    <col min="5" max="5" width="8.85546875" style="10"/>
    <col min="6" max="6" width="32.5703125" style="10" bestFit="1" customWidth="1"/>
    <col min="7" max="7" width="19" style="10" bestFit="1" customWidth="1"/>
    <col min="8" max="8" width="13.42578125" style="10" customWidth="1"/>
    <col min="9" max="9" width="42.85546875" style="10" bestFit="1" customWidth="1"/>
    <col min="10" max="16384" width="8.85546875" style="11"/>
  </cols>
  <sheetData>
    <row r="3" spans="2:8" x14ac:dyDescent="0.25">
      <c r="B3" s="10" t="s">
        <v>91</v>
      </c>
      <c r="F3" s="10" t="s">
        <v>178</v>
      </c>
      <c r="G3" s="10" t="s">
        <v>179</v>
      </c>
      <c r="H3" s="10" t="s">
        <v>177</v>
      </c>
    </row>
    <row r="4" spans="2:8" x14ac:dyDescent="0.25">
      <c r="B4" s="13" t="s">
        <v>87</v>
      </c>
      <c r="C4" s="14">
        <v>222291</v>
      </c>
      <c r="D4" s="33">
        <v>2800</v>
      </c>
      <c r="F4" s="12" t="s">
        <v>181</v>
      </c>
      <c r="G4" s="12" t="s">
        <v>201</v>
      </c>
      <c r="H4" s="12" t="s">
        <v>180</v>
      </c>
    </row>
    <row r="5" spans="2:8" x14ac:dyDescent="0.25">
      <c r="B5" s="13" t="s">
        <v>88</v>
      </c>
      <c r="C5" s="14">
        <v>230652</v>
      </c>
      <c r="D5" s="33">
        <v>2700</v>
      </c>
      <c r="F5" s="10" t="s">
        <v>204</v>
      </c>
      <c r="G5" s="10" t="s">
        <v>203</v>
      </c>
      <c r="H5" s="10" t="s">
        <v>202</v>
      </c>
    </row>
    <row r="6" spans="2:8" x14ac:dyDescent="0.25">
      <c r="B6" s="13" t="s">
        <v>80</v>
      </c>
      <c r="C6" s="14">
        <v>234745</v>
      </c>
      <c r="D6" s="33">
        <v>2500</v>
      </c>
      <c r="F6" s="12" t="s">
        <v>183</v>
      </c>
      <c r="G6" s="12" t="s">
        <v>184</v>
      </c>
      <c r="H6" s="12" t="s">
        <v>182</v>
      </c>
    </row>
    <row r="7" spans="2:8" x14ac:dyDescent="0.25">
      <c r="B7" s="13" t="s">
        <v>228</v>
      </c>
      <c r="C7" s="14"/>
      <c r="D7" s="33">
        <v>2500</v>
      </c>
      <c r="F7" s="12" t="s">
        <v>187</v>
      </c>
      <c r="G7" s="12" t="s">
        <v>200</v>
      </c>
      <c r="H7" s="12" t="s">
        <v>32</v>
      </c>
    </row>
    <row r="8" spans="2:8" x14ac:dyDescent="0.25">
      <c r="B8" s="13" t="s">
        <v>89</v>
      </c>
      <c r="C8" s="14">
        <v>222305</v>
      </c>
      <c r="D8" s="33">
        <v>1800</v>
      </c>
      <c r="F8" s="12" t="s">
        <v>186</v>
      </c>
      <c r="G8" s="12" t="s">
        <v>199</v>
      </c>
      <c r="H8" s="12" t="s">
        <v>185</v>
      </c>
    </row>
    <row r="9" spans="2:8" x14ac:dyDescent="0.25">
      <c r="B9" s="13" t="s">
        <v>81</v>
      </c>
      <c r="C9" s="14">
        <v>230666</v>
      </c>
      <c r="D9" s="33">
        <v>1650</v>
      </c>
      <c r="F9" s="12" t="s">
        <v>188</v>
      </c>
      <c r="G9" s="12" t="s">
        <v>198</v>
      </c>
      <c r="H9" s="12" t="s">
        <v>27</v>
      </c>
    </row>
    <row r="10" spans="2:8" x14ac:dyDescent="0.25">
      <c r="B10" s="13" t="s">
        <v>82</v>
      </c>
      <c r="C10" s="14">
        <v>234759</v>
      </c>
      <c r="D10" s="33">
        <v>1575</v>
      </c>
      <c r="F10" s="12" t="s">
        <v>192</v>
      </c>
      <c r="G10" s="12" t="s">
        <v>197</v>
      </c>
      <c r="H10" s="12" t="s">
        <v>191</v>
      </c>
    </row>
    <row r="11" spans="2:8" x14ac:dyDescent="0.25">
      <c r="B11" s="13" t="s">
        <v>229</v>
      </c>
      <c r="C11" s="14"/>
      <c r="D11" s="33">
        <v>1575</v>
      </c>
      <c r="F11" s="12" t="s">
        <v>190</v>
      </c>
      <c r="G11" s="12" t="s">
        <v>196</v>
      </c>
      <c r="H11" s="12" t="s">
        <v>189</v>
      </c>
    </row>
    <row r="12" spans="2:8" x14ac:dyDescent="0.25">
      <c r="B12" s="13" t="s">
        <v>90</v>
      </c>
      <c r="C12" s="14">
        <v>240470</v>
      </c>
      <c r="D12" s="33">
        <v>1100</v>
      </c>
      <c r="F12" s="12" t="s">
        <v>194</v>
      </c>
      <c r="G12" s="12"/>
      <c r="H12" s="12" t="s">
        <v>193</v>
      </c>
    </row>
    <row r="13" spans="2:8" x14ac:dyDescent="0.25">
      <c r="B13" s="13" t="s">
        <v>83</v>
      </c>
      <c r="C13" s="14">
        <v>240749</v>
      </c>
      <c r="D13" s="33">
        <v>935</v>
      </c>
      <c r="F13" s="12" t="s">
        <v>195</v>
      </c>
      <c r="G13" s="12"/>
      <c r="H13" s="12">
        <v>871</v>
      </c>
    </row>
    <row r="14" spans="2:8" x14ac:dyDescent="0.25">
      <c r="B14" s="13" t="s">
        <v>84</v>
      </c>
      <c r="C14" s="14">
        <v>234772</v>
      </c>
      <c r="D14" s="33">
        <v>880</v>
      </c>
      <c r="F14" s="10" t="s">
        <v>209</v>
      </c>
      <c r="G14" s="10" t="s">
        <v>210</v>
      </c>
      <c r="H14" s="10" t="s">
        <v>209</v>
      </c>
    </row>
    <row r="15" spans="2:8" x14ac:dyDescent="0.25">
      <c r="B15" s="13" t="s">
        <v>230</v>
      </c>
      <c r="C15" s="15"/>
      <c r="D15" s="34">
        <v>880</v>
      </c>
      <c r="F15" s="10" t="s">
        <v>213</v>
      </c>
      <c r="G15" s="10" t="s">
        <v>213</v>
      </c>
      <c r="H15" s="10" t="s">
        <v>213</v>
      </c>
    </row>
    <row r="16" spans="2:8" x14ac:dyDescent="0.25">
      <c r="B16" s="10" t="s">
        <v>36</v>
      </c>
      <c r="C16" s="14">
        <v>248369</v>
      </c>
      <c r="D16" s="33">
        <v>1133</v>
      </c>
    </row>
    <row r="17" spans="2:4" x14ac:dyDescent="0.25">
      <c r="B17" s="13" t="s">
        <v>37</v>
      </c>
      <c r="C17" s="14">
        <v>247787</v>
      </c>
      <c r="D17" s="33">
        <v>1133</v>
      </c>
    </row>
    <row r="18" spans="2:4" x14ac:dyDescent="0.25">
      <c r="B18" s="13" t="s">
        <v>33</v>
      </c>
      <c r="C18" s="16">
        <v>225683</v>
      </c>
      <c r="D18" s="35">
        <v>600</v>
      </c>
    </row>
    <row r="19" spans="2:4" x14ac:dyDescent="0.25">
      <c r="B19" s="13" t="s">
        <v>35</v>
      </c>
      <c r="C19" s="16">
        <v>200309</v>
      </c>
      <c r="D19" s="35">
        <v>400</v>
      </c>
    </row>
    <row r="20" spans="2:4" x14ac:dyDescent="0.25">
      <c r="B20" s="13" t="s">
        <v>38</v>
      </c>
      <c r="C20" s="14">
        <v>197014</v>
      </c>
      <c r="D20" s="33">
        <v>2200</v>
      </c>
    </row>
    <row r="21" spans="2:4" x14ac:dyDescent="0.25">
      <c r="B21" s="13" t="s">
        <v>39</v>
      </c>
      <c r="C21" s="14">
        <v>196447</v>
      </c>
      <c r="D21" s="33">
        <v>2178</v>
      </c>
    </row>
    <row r="22" spans="2:4" x14ac:dyDescent="0.25">
      <c r="B22" s="13" t="s">
        <v>40</v>
      </c>
      <c r="C22" s="14">
        <v>196429</v>
      </c>
      <c r="D22" s="33">
        <v>1925</v>
      </c>
    </row>
    <row r="23" spans="2:4" x14ac:dyDescent="0.25">
      <c r="B23" s="13" t="s">
        <v>41</v>
      </c>
      <c r="C23" s="14">
        <v>197020</v>
      </c>
      <c r="D23" s="33">
        <v>1600</v>
      </c>
    </row>
    <row r="24" spans="2:4" x14ac:dyDescent="0.25">
      <c r="B24" s="13" t="s">
        <v>42</v>
      </c>
      <c r="C24" s="14">
        <v>196454</v>
      </c>
      <c r="D24" s="33">
        <v>1628</v>
      </c>
    </row>
    <row r="25" spans="2:4" x14ac:dyDescent="0.25">
      <c r="B25" s="13" t="s">
        <v>43</v>
      </c>
      <c r="C25" s="14">
        <v>196435</v>
      </c>
      <c r="D25" s="33">
        <v>1573</v>
      </c>
    </row>
    <row r="26" spans="2:4" x14ac:dyDescent="0.25">
      <c r="B26" s="13" t="s">
        <v>44</v>
      </c>
      <c r="C26" s="30">
        <v>197026</v>
      </c>
      <c r="D26" s="36">
        <v>1400</v>
      </c>
    </row>
    <row r="27" spans="2:4" x14ac:dyDescent="0.25">
      <c r="B27" s="13" t="s">
        <v>45</v>
      </c>
      <c r="C27" s="14">
        <v>196460</v>
      </c>
      <c r="D27" s="33">
        <v>1265</v>
      </c>
    </row>
    <row r="28" spans="2:4" x14ac:dyDescent="0.25">
      <c r="B28" s="13" t="s">
        <v>46</v>
      </c>
      <c r="C28" s="14">
        <v>196441</v>
      </c>
      <c r="D28" s="33">
        <v>1210</v>
      </c>
    </row>
    <row r="29" spans="2:4" x14ac:dyDescent="0.25">
      <c r="B29" s="13" t="s">
        <v>29</v>
      </c>
      <c r="C29" s="14">
        <v>215144</v>
      </c>
      <c r="D29" s="33">
        <v>950</v>
      </c>
    </row>
    <row r="30" spans="2:4" x14ac:dyDescent="0.25">
      <c r="B30" s="13" t="s">
        <v>13</v>
      </c>
      <c r="C30" s="14">
        <v>215325</v>
      </c>
      <c r="D30" s="33">
        <v>935</v>
      </c>
    </row>
    <row r="31" spans="2:4" x14ac:dyDescent="0.25">
      <c r="B31" s="13" t="s">
        <v>12</v>
      </c>
      <c r="C31" s="14">
        <v>215349</v>
      </c>
      <c r="D31" s="33">
        <v>880</v>
      </c>
    </row>
    <row r="32" spans="2:4" x14ac:dyDescent="0.25">
      <c r="B32" s="13" t="s">
        <v>28</v>
      </c>
      <c r="C32" s="14">
        <v>215331</v>
      </c>
      <c r="D32" s="33">
        <v>825</v>
      </c>
    </row>
    <row r="33" spans="2:4" x14ac:dyDescent="0.25">
      <c r="B33" s="13" t="s">
        <v>47</v>
      </c>
      <c r="C33" s="14">
        <v>215355</v>
      </c>
      <c r="D33" s="33">
        <v>770</v>
      </c>
    </row>
    <row r="34" spans="2:4" x14ac:dyDescent="0.25">
      <c r="B34" s="13"/>
      <c r="C34" s="14"/>
      <c r="D34" s="33"/>
    </row>
    <row r="35" spans="2:4" x14ac:dyDescent="0.25">
      <c r="B35" s="16" t="s">
        <v>85</v>
      </c>
      <c r="C35" s="14"/>
      <c r="D35" s="33"/>
    </row>
    <row r="36" spans="2:4" x14ac:dyDescent="0.25">
      <c r="B36" s="10" t="s">
        <v>48</v>
      </c>
      <c r="C36" s="14">
        <v>149272</v>
      </c>
      <c r="D36" s="33">
        <f>VLOOKUP(C36,[1]Sheet3!$C:$F,4,FALSE)</f>
        <v>170</v>
      </c>
    </row>
    <row r="37" spans="2:4" x14ac:dyDescent="0.25">
      <c r="B37" s="10" t="s">
        <v>49</v>
      </c>
      <c r="C37" s="14">
        <v>149271</v>
      </c>
      <c r="D37" s="33">
        <v>170</v>
      </c>
    </row>
    <row r="38" spans="2:4" x14ac:dyDescent="0.25">
      <c r="B38" s="10" t="s">
        <v>17</v>
      </c>
      <c r="C38" s="14">
        <v>149274</v>
      </c>
      <c r="D38" s="33">
        <v>170</v>
      </c>
    </row>
    <row r="39" spans="2:4" x14ac:dyDescent="0.25">
      <c r="B39" s="10" t="s">
        <v>18</v>
      </c>
      <c r="C39" s="14">
        <v>149273</v>
      </c>
      <c r="D39" s="33">
        <v>170</v>
      </c>
    </row>
    <row r="40" spans="2:4" x14ac:dyDescent="0.25">
      <c r="B40" s="10" t="s">
        <v>19</v>
      </c>
      <c r="C40" s="14">
        <v>149276</v>
      </c>
      <c r="D40" s="33">
        <v>170</v>
      </c>
    </row>
    <row r="41" spans="2:4" x14ac:dyDescent="0.25">
      <c r="B41" s="10" t="s">
        <v>20</v>
      </c>
      <c r="C41" s="14">
        <v>149275</v>
      </c>
      <c r="D41" s="33">
        <v>170</v>
      </c>
    </row>
    <row r="42" spans="2:4" x14ac:dyDescent="0.25">
      <c r="B42" s="10" t="s">
        <v>50</v>
      </c>
      <c r="C42" s="14">
        <v>149278</v>
      </c>
      <c r="D42" s="33">
        <v>170</v>
      </c>
    </row>
    <row r="43" spans="2:4" x14ac:dyDescent="0.25">
      <c r="B43" s="10" t="s">
        <v>51</v>
      </c>
      <c r="C43" s="14">
        <v>149277</v>
      </c>
      <c r="D43" s="33">
        <v>170</v>
      </c>
    </row>
    <row r="44" spans="2:4" x14ac:dyDescent="0.25">
      <c r="B44" s="10" t="s">
        <v>52</v>
      </c>
      <c r="C44" s="14">
        <v>149279</v>
      </c>
      <c r="D44" s="33">
        <v>170</v>
      </c>
    </row>
    <row r="45" spans="2:4" x14ac:dyDescent="0.25">
      <c r="B45" s="10" t="s">
        <v>53</v>
      </c>
      <c r="C45" s="14">
        <v>149280</v>
      </c>
      <c r="D45" s="33">
        <v>170</v>
      </c>
    </row>
    <row r="46" spans="2:4" x14ac:dyDescent="0.25">
      <c r="B46" s="10" t="s">
        <v>14</v>
      </c>
      <c r="C46" s="14">
        <v>149281</v>
      </c>
      <c r="D46" s="33">
        <v>170</v>
      </c>
    </row>
    <row r="47" spans="2:4" x14ac:dyDescent="0.25">
      <c r="B47" s="10" t="s">
        <v>15</v>
      </c>
      <c r="C47" s="14">
        <v>149282</v>
      </c>
      <c r="D47" s="33">
        <v>170</v>
      </c>
    </row>
    <row r="48" spans="2:4" x14ac:dyDescent="0.25">
      <c r="B48" s="10" t="s">
        <v>21</v>
      </c>
      <c r="C48" s="14">
        <v>149283</v>
      </c>
      <c r="D48" s="33">
        <v>170</v>
      </c>
    </row>
    <row r="49" spans="2:4" x14ac:dyDescent="0.25">
      <c r="B49" s="10" t="s">
        <v>22</v>
      </c>
      <c r="C49" s="14">
        <v>149284</v>
      </c>
      <c r="D49" s="33">
        <v>170</v>
      </c>
    </row>
    <row r="50" spans="2:4" x14ac:dyDescent="0.25">
      <c r="B50" s="10" t="s">
        <v>54</v>
      </c>
      <c r="C50" s="14">
        <v>149285</v>
      </c>
      <c r="D50" s="33">
        <v>170</v>
      </c>
    </row>
    <row r="51" spans="2:4" x14ac:dyDescent="0.25">
      <c r="B51" s="10" t="s">
        <v>55</v>
      </c>
      <c r="C51" s="14">
        <v>149286</v>
      </c>
      <c r="D51" s="33">
        <v>170</v>
      </c>
    </row>
    <row r="52" spans="2:4" x14ac:dyDescent="0.25">
      <c r="B52" s="10" t="s">
        <v>56</v>
      </c>
      <c r="C52" s="14">
        <v>149287</v>
      </c>
      <c r="D52" s="33">
        <v>170</v>
      </c>
    </row>
    <row r="53" spans="2:4" x14ac:dyDescent="0.25">
      <c r="B53" s="10" t="s">
        <v>57</v>
      </c>
      <c r="C53" s="14">
        <v>149288</v>
      </c>
      <c r="D53" s="33">
        <v>170</v>
      </c>
    </row>
    <row r="54" spans="2:4" x14ac:dyDescent="0.25">
      <c r="B54" s="10" t="s">
        <v>58</v>
      </c>
      <c r="C54" s="14">
        <v>149289</v>
      </c>
      <c r="D54" s="33">
        <v>170</v>
      </c>
    </row>
    <row r="55" spans="2:4" x14ac:dyDescent="0.25">
      <c r="B55" s="10" t="s">
        <v>59</v>
      </c>
      <c r="C55" s="14">
        <v>149290</v>
      </c>
      <c r="D55" s="33">
        <v>170</v>
      </c>
    </row>
    <row r="56" spans="2:4" x14ac:dyDescent="0.25">
      <c r="B56" s="10" t="s">
        <v>60</v>
      </c>
      <c r="C56" s="14">
        <v>149291</v>
      </c>
      <c r="D56" s="33">
        <v>170</v>
      </c>
    </row>
    <row r="57" spans="2:4" x14ac:dyDescent="0.25">
      <c r="B57" s="10" t="s">
        <v>61</v>
      </c>
      <c r="C57" s="14">
        <v>149292</v>
      </c>
      <c r="D57" s="33">
        <v>170</v>
      </c>
    </row>
    <row r="58" spans="2:4" x14ac:dyDescent="0.25">
      <c r="B58" s="10" t="s">
        <v>62</v>
      </c>
      <c r="C58" s="14">
        <v>149293</v>
      </c>
      <c r="D58" s="33">
        <v>170</v>
      </c>
    </row>
    <row r="59" spans="2:4" x14ac:dyDescent="0.25">
      <c r="B59" s="10" t="s">
        <v>63</v>
      </c>
      <c r="C59" s="14">
        <v>149294</v>
      </c>
      <c r="D59" s="33">
        <v>170</v>
      </c>
    </row>
    <row r="60" spans="2:4" x14ac:dyDescent="0.25">
      <c r="C60" s="14"/>
      <c r="D60" s="33"/>
    </row>
    <row r="61" spans="2:4" x14ac:dyDescent="0.25">
      <c r="B61" s="10" t="s">
        <v>140</v>
      </c>
      <c r="C61" s="14">
        <v>156522</v>
      </c>
      <c r="D61" s="33">
        <v>58</v>
      </c>
    </row>
    <row r="62" spans="2:4" x14ac:dyDescent="0.25">
      <c r="B62" s="10" t="s">
        <v>141</v>
      </c>
      <c r="C62" s="14">
        <v>156526</v>
      </c>
      <c r="D62" s="33">
        <v>58</v>
      </c>
    </row>
    <row r="63" spans="2:4" x14ac:dyDescent="0.25">
      <c r="B63" s="10" t="s">
        <v>142</v>
      </c>
      <c r="C63" s="14">
        <v>156523</v>
      </c>
      <c r="D63" s="33">
        <v>58</v>
      </c>
    </row>
    <row r="64" spans="2:4" x14ac:dyDescent="0.25">
      <c r="B64" s="10" t="s">
        <v>143</v>
      </c>
      <c r="C64" s="14">
        <v>156527</v>
      </c>
      <c r="D64" s="33">
        <v>58</v>
      </c>
    </row>
    <row r="65" spans="2:4" x14ac:dyDescent="0.25">
      <c r="B65" s="10" t="s">
        <v>144</v>
      </c>
      <c r="C65" s="14">
        <v>156524</v>
      </c>
      <c r="D65" s="33">
        <v>58</v>
      </c>
    </row>
    <row r="66" spans="2:4" x14ac:dyDescent="0.25">
      <c r="B66" s="10" t="s">
        <v>145</v>
      </c>
      <c r="C66" s="14">
        <v>156528</v>
      </c>
      <c r="D66" s="33">
        <v>58</v>
      </c>
    </row>
    <row r="67" spans="2:4" x14ac:dyDescent="0.25">
      <c r="B67" s="10" t="s">
        <v>146</v>
      </c>
      <c r="C67" s="14">
        <v>156525</v>
      </c>
      <c r="D67" s="33">
        <v>58</v>
      </c>
    </row>
    <row r="68" spans="2:4" x14ac:dyDescent="0.25">
      <c r="B68" s="10" t="s">
        <v>147</v>
      </c>
      <c r="C68" s="14">
        <v>156529</v>
      </c>
      <c r="D68" s="33">
        <v>58</v>
      </c>
    </row>
    <row r="69" spans="2:4" x14ac:dyDescent="0.25">
      <c r="C69" s="14"/>
      <c r="D69" s="33"/>
    </row>
    <row r="70" spans="2:4" x14ac:dyDescent="0.25">
      <c r="B70" s="10" t="s">
        <v>148</v>
      </c>
      <c r="C70" s="14">
        <v>156533</v>
      </c>
      <c r="D70" s="33">
        <v>58</v>
      </c>
    </row>
    <row r="71" spans="2:4" x14ac:dyDescent="0.25">
      <c r="B71" s="10" t="s">
        <v>149</v>
      </c>
      <c r="C71" s="14">
        <v>156537</v>
      </c>
      <c r="D71" s="33">
        <v>58</v>
      </c>
    </row>
    <row r="72" spans="2:4" x14ac:dyDescent="0.25">
      <c r="B72" s="10" t="s">
        <v>150</v>
      </c>
      <c r="C72" s="14">
        <v>156534</v>
      </c>
      <c r="D72" s="33">
        <v>58</v>
      </c>
    </row>
    <row r="73" spans="2:4" x14ac:dyDescent="0.25">
      <c r="B73" s="10" t="s">
        <v>151</v>
      </c>
      <c r="C73" s="14">
        <v>156538</v>
      </c>
      <c r="D73" s="33">
        <v>58</v>
      </c>
    </row>
    <row r="74" spans="2:4" x14ac:dyDescent="0.25">
      <c r="B74" s="10" t="s">
        <v>152</v>
      </c>
      <c r="C74" s="14">
        <v>156535</v>
      </c>
      <c r="D74" s="33">
        <v>58</v>
      </c>
    </row>
    <row r="75" spans="2:4" x14ac:dyDescent="0.25">
      <c r="B75" s="10" t="s">
        <v>153</v>
      </c>
      <c r="C75" s="14">
        <v>156539</v>
      </c>
      <c r="D75" s="33">
        <v>58</v>
      </c>
    </row>
    <row r="76" spans="2:4" x14ac:dyDescent="0.25">
      <c r="B76" s="10" t="s">
        <v>154</v>
      </c>
      <c r="C76" s="14">
        <v>156536</v>
      </c>
      <c r="D76" s="33">
        <v>58</v>
      </c>
    </row>
    <row r="77" spans="2:4" x14ac:dyDescent="0.25">
      <c r="B77" s="10" t="s">
        <v>155</v>
      </c>
      <c r="C77" s="14">
        <v>156540</v>
      </c>
      <c r="D77" s="33">
        <v>58</v>
      </c>
    </row>
    <row r="78" spans="2:4" x14ac:dyDescent="0.25">
      <c r="C78" s="14"/>
      <c r="D78" s="33"/>
    </row>
    <row r="79" spans="2:4" x14ac:dyDescent="0.25">
      <c r="B79" s="14" t="s">
        <v>86</v>
      </c>
    </row>
    <row r="80" spans="2:4" x14ac:dyDescent="0.25">
      <c r="B80" s="10" t="s">
        <v>64</v>
      </c>
      <c r="C80" s="14">
        <v>218359</v>
      </c>
      <c r="D80" s="33">
        <v>50</v>
      </c>
    </row>
    <row r="81" spans="2:4" x14ac:dyDescent="0.25">
      <c r="B81" s="10" t="s">
        <v>65</v>
      </c>
      <c r="C81" s="14">
        <v>218364</v>
      </c>
      <c r="D81" s="33">
        <v>50</v>
      </c>
    </row>
    <row r="82" spans="2:4" x14ac:dyDescent="0.25">
      <c r="B82" s="10" t="s">
        <v>66</v>
      </c>
      <c r="C82" s="14">
        <v>218368</v>
      </c>
      <c r="D82" s="33">
        <v>50</v>
      </c>
    </row>
    <row r="83" spans="2:4" x14ac:dyDescent="0.25">
      <c r="B83" s="10" t="s">
        <v>67</v>
      </c>
      <c r="C83" s="14">
        <v>218373</v>
      </c>
      <c r="D83" s="33">
        <v>50</v>
      </c>
    </row>
    <row r="84" spans="2:4" x14ac:dyDescent="0.25">
      <c r="B84" s="10" t="s">
        <v>68</v>
      </c>
      <c r="C84" s="14">
        <v>218377</v>
      </c>
      <c r="D84" s="33">
        <v>50</v>
      </c>
    </row>
    <row r="85" spans="2:4" x14ac:dyDescent="0.25">
      <c r="B85" s="10" t="s">
        <v>69</v>
      </c>
      <c r="C85" s="14">
        <v>173494</v>
      </c>
      <c r="D85" s="33">
        <v>50</v>
      </c>
    </row>
    <row r="86" spans="2:4" x14ac:dyDescent="0.25">
      <c r="B86" s="10" t="s">
        <v>34</v>
      </c>
      <c r="C86" s="14">
        <v>149303</v>
      </c>
      <c r="D86" s="33">
        <v>50</v>
      </c>
    </row>
    <row r="87" spans="2:4" x14ac:dyDescent="0.25">
      <c r="B87" s="10" t="s">
        <v>24</v>
      </c>
      <c r="C87" s="14">
        <v>149304</v>
      </c>
      <c r="D87" s="33">
        <v>50</v>
      </c>
    </row>
    <row r="88" spans="2:4" x14ac:dyDescent="0.25">
      <c r="B88" s="10" t="s">
        <v>25</v>
      </c>
      <c r="C88" s="14">
        <v>149305</v>
      </c>
      <c r="D88" s="33">
        <v>50</v>
      </c>
    </row>
    <row r="89" spans="2:4" x14ac:dyDescent="0.25">
      <c r="B89" s="10" t="s">
        <v>70</v>
      </c>
      <c r="C89" s="14">
        <v>149306</v>
      </c>
      <c r="D89" s="33">
        <v>50</v>
      </c>
    </row>
    <row r="90" spans="2:4" x14ac:dyDescent="0.25">
      <c r="B90" s="10" t="s">
        <v>71</v>
      </c>
      <c r="C90" s="14">
        <v>149307</v>
      </c>
      <c r="D90" s="33">
        <v>50</v>
      </c>
    </row>
    <row r="91" spans="2:4" x14ac:dyDescent="0.25">
      <c r="B91" s="10" t="s">
        <v>72</v>
      </c>
      <c r="C91" s="14">
        <v>149308</v>
      </c>
      <c r="D91" s="33">
        <v>50</v>
      </c>
    </row>
    <row r="92" spans="2:4" x14ac:dyDescent="0.25">
      <c r="B92" s="10" t="s">
        <v>73</v>
      </c>
      <c r="C92" s="14">
        <v>149309</v>
      </c>
      <c r="D92" s="33">
        <v>50</v>
      </c>
    </row>
    <row r="93" spans="2:4" x14ac:dyDescent="0.25">
      <c r="B93" s="10" t="s">
        <v>74</v>
      </c>
      <c r="C93" s="14">
        <v>149310</v>
      </c>
      <c r="D93" s="33">
        <v>50</v>
      </c>
    </row>
    <row r="94" spans="2:4" x14ac:dyDescent="0.25">
      <c r="B94" s="10" t="s">
        <v>75</v>
      </c>
      <c r="C94" s="14">
        <v>149311</v>
      </c>
      <c r="D94" s="33">
        <v>50</v>
      </c>
    </row>
    <row r="95" spans="2:4" x14ac:dyDescent="0.25">
      <c r="B95" s="10" t="s">
        <v>31</v>
      </c>
      <c r="C95" s="14">
        <v>149312</v>
      </c>
      <c r="D95" s="33">
        <v>50</v>
      </c>
    </row>
    <row r="96" spans="2:4" x14ac:dyDescent="0.25">
      <c r="B96" s="10" t="s">
        <v>76</v>
      </c>
      <c r="C96" s="14">
        <v>149313</v>
      </c>
      <c r="D96" s="33">
        <v>50</v>
      </c>
    </row>
    <row r="97" spans="2:4" x14ac:dyDescent="0.25">
      <c r="B97" s="10" t="s">
        <v>77</v>
      </c>
      <c r="C97" s="14">
        <v>149314</v>
      </c>
      <c r="D97" s="33">
        <v>50</v>
      </c>
    </row>
    <row r="98" spans="2:4" x14ac:dyDescent="0.25">
      <c r="B98" s="10" t="s">
        <v>23</v>
      </c>
      <c r="C98" s="14">
        <v>149315</v>
      </c>
      <c r="D98" s="33">
        <v>50</v>
      </c>
    </row>
    <row r="99" spans="2:4" x14ac:dyDescent="0.25">
      <c r="B99" s="10" t="s">
        <v>78</v>
      </c>
      <c r="C99" s="14">
        <v>149316</v>
      </c>
      <c r="D99" s="33">
        <v>50</v>
      </c>
    </row>
    <row r="100" spans="2:4" x14ac:dyDescent="0.25">
      <c r="B100" s="10" t="s">
        <v>79</v>
      </c>
      <c r="C100" s="14">
        <v>149317</v>
      </c>
      <c r="D100" s="33">
        <v>50</v>
      </c>
    </row>
    <row r="101" spans="2:4" x14ac:dyDescent="0.25">
      <c r="B101" s="17" t="s">
        <v>26</v>
      </c>
      <c r="C101" s="18">
        <v>5892510000</v>
      </c>
      <c r="D101" s="37">
        <v>50</v>
      </c>
    </row>
    <row r="103" spans="2:4" x14ac:dyDescent="0.25">
      <c r="B103" s="10" t="s">
        <v>93</v>
      </c>
    </row>
    <row r="104" spans="2:4" x14ac:dyDescent="0.25">
      <c r="B104" s="31" t="s">
        <v>224</v>
      </c>
      <c r="C104" s="31">
        <v>686010</v>
      </c>
      <c r="D104" s="38">
        <v>9</v>
      </c>
    </row>
    <row r="105" spans="2:4" x14ac:dyDescent="0.25">
      <c r="B105" s="31" t="s">
        <v>225</v>
      </c>
      <c r="C105" s="31">
        <v>686013</v>
      </c>
      <c r="D105" s="38">
        <v>9</v>
      </c>
    </row>
    <row r="106" spans="2:4" x14ac:dyDescent="0.25">
      <c r="B106" s="31" t="s">
        <v>226</v>
      </c>
      <c r="C106" s="31">
        <v>686312</v>
      </c>
      <c r="D106" s="38">
        <v>9</v>
      </c>
    </row>
    <row r="107" spans="2:4" x14ac:dyDescent="0.25">
      <c r="B107" s="31" t="s">
        <v>227</v>
      </c>
      <c r="C107" s="31">
        <v>686675</v>
      </c>
      <c r="D107" s="38">
        <v>9</v>
      </c>
    </row>
    <row r="108" spans="2:4" x14ac:dyDescent="0.25">
      <c r="B108" s="19" t="s">
        <v>92</v>
      </c>
      <c r="C108" s="18">
        <v>240909</v>
      </c>
      <c r="D108" s="37">
        <v>120</v>
      </c>
    </row>
    <row r="110" spans="2:4" x14ac:dyDescent="0.25">
      <c r="B110" s="19" t="s">
        <v>94</v>
      </c>
    </row>
    <row r="111" spans="2:4" x14ac:dyDescent="0.25">
      <c r="B111" s="19" t="s">
        <v>95</v>
      </c>
      <c r="C111" s="18">
        <v>6893021000</v>
      </c>
      <c r="D111" s="37">
        <v>28.75</v>
      </c>
    </row>
    <row r="112" spans="2:4" x14ac:dyDescent="0.25">
      <c r="B112" s="19" t="s">
        <v>96</v>
      </c>
      <c r="C112" s="18">
        <v>128003</v>
      </c>
      <c r="D112" s="37">
        <v>100</v>
      </c>
    </row>
    <row r="113" spans="2:4" x14ac:dyDescent="0.25">
      <c r="B113" s="19" t="s">
        <v>30</v>
      </c>
      <c r="C113" s="18">
        <v>130091</v>
      </c>
      <c r="D113" s="37">
        <v>71.3</v>
      </c>
    </row>
    <row r="114" spans="2:4" x14ac:dyDescent="0.25">
      <c r="B114" s="19" t="s">
        <v>16</v>
      </c>
      <c r="C114" s="18">
        <v>123367</v>
      </c>
      <c r="D114" s="37">
        <v>57.5</v>
      </c>
    </row>
    <row r="115" spans="2:4" x14ac:dyDescent="0.25">
      <c r="B115" s="19" t="s">
        <v>97</v>
      </c>
      <c r="C115" s="18">
        <v>123328</v>
      </c>
      <c r="D115" s="37">
        <v>90.85</v>
      </c>
    </row>
    <row r="116" spans="2:4" x14ac:dyDescent="0.25">
      <c r="B116" s="19" t="s">
        <v>98</v>
      </c>
      <c r="C116" s="18">
        <v>123327</v>
      </c>
      <c r="D116" s="37">
        <v>86.25</v>
      </c>
    </row>
    <row r="117" spans="2:4" x14ac:dyDescent="0.25">
      <c r="B117" s="19" t="s">
        <v>99</v>
      </c>
      <c r="C117" s="18">
        <v>6893028000</v>
      </c>
      <c r="D117" s="37">
        <v>25.3</v>
      </c>
    </row>
    <row r="119" spans="2:4" x14ac:dyDescent="0.25">
      <c r="B119" s="19" t="s">
        <v>100</v>
      </c>
    </row>
    <row r="120" spans="2:4" x14ac:dyDescent="0.25">
      <c r="B120" s="19" t="s">
        <v>101</v>
      </c>
      <c r="C120" s="18">
        <v>8902125000</v>
      </c>
      <c r="D120" s="37">
        <v>9.92</v>
      </c>
    </row>
    <row r="121" spans="2:4" x14ac:dyDescent="0.25">
      <c r="B121" s="19" t="s">
        <v>102</v>
      </c>
      <c r="C121" s="18">
        <v>8902129000</v>
      </c>
      <c r="D121" s="37">
        <v>17.920000000000002</v>
      </c>
    </row>
    <row r="122" spans="2:4" x14ac:dyDescent="0.25">
      <c r="B122" s="19" t="s">
        <v>103</v>
      </c>
      <c r="C122" s="18">
        <v>120313</v>
      </c>
      <c r="D122" s="37">
        <v>63.13</v>
      </c>
    </row>
    <row r="123" spans="2:4" x14ac:dyDescent="0.25">
      <c r="B123" s="19" t="s">
        <v>104</v>
      </c>
      <c r="C123" s="18">
        <v>118890</v>
      </c>
      <c r="D123" s="37">
        <v>12.51</v>
      </c>
    </row>
    <row r="124" spans="2:4" x14ac:dyDescent="0.25">
      <c r="B124" s="19" t="s">
        <v>105</v>
      </c>
      <c r="C124" s="18">
        <v>8906023000</v>
      </c>
      <c r="D124" s="37">
        <v>8</v>
      </c>
    </row>
    <row r="125" spans="2:4" x14ac:dyDescent="0.25">
      <c r="B125" s="19" t="s">
        <v>106</v>
      </c>
      <c r="C125" s="18">
        <v>8250123000</v>
      </c>
      <c r="D125" s="37">
        <v>8</v>
      </c>
    </row>
    <row r="126" spans="2:4" x14ac:dyDescent="0.25">
      <c r="B126" s="19" t="s">
        <v>107</v>
      </c>
      <c r="C126" s="18">
        <v>8902227000</v>
      </c>
      <c r="D126" s="37">
        <v>6</v>
      </c>
    </row>
    <row r="127" spans="2:4" x14ac:dyDescent="0.25">
      <c r="B127" s="19" t="s">
        <v>108</v>
      </c>
      <c r="C127" s="18">
        <v>8250109203</v>
      </c>
      <c r="D127" s="37">
        <v>4.1500000000000004</v>
      </c>
    </row>
    <row r="128" spans="2:4" x14ac:dyDescent="0.25">
      <c r="B128" s="19" t="s">
        <v>109</v>
      </c>
      <c r="C128" s="18">
        <v>8250121000</v>
      </c>
      <c r="D128" s="37">
        <v>8.24</v>
      </c>
    </row>
    <row r="129" spans="2:4" x14ac:dyDescent="0.25">
      <c r="B129" s="19" t="s">
        <v>110</v>
      </c>
      <c r="C129" s="18">
        <v>8250109800</v>
      </c>
      <c r="D129" s="37">
        <v>7.14</v>
      </c>
    </row>
    <row r="130" spans="2:4" x14ac:dyDescent="0.25">
      <c r="B130" s="19" t="s">
        <v>111</v>
      </c>
      <c r="C130" s="18">
        <v>121563</v>
      </c>
      <c r="D130" s="37">
        <v>12.25</v>
      </c>
    </row>
    <row r="131" spans="2:4" x14ac:dyDescent="0.25">
      <c r="B131" s="19" t="s">
        <v>112</v>
      </c>
      <c r="C131" s="18">
        <v>8902177002</v>
      </c>
      <c r="D131" s="37">
        <v>10.29</v>
      </c>
    </row>
    <row r="132" spans="2:4" x14ac:dyDescent="0.25">
      <c r="B132" s="19" t="s">
        <v>113</v>
      </c>
      <c r="C132" s="18">
        <v>143070</v>
      </c>
      <c r="D132" s="37">
        <v>12.52</v>
      </c>
    </row>
    <row r="134" spans="2:4" x14ac:dyDescent="0.25">
      <c r="B134" s="19" t="s">
        <v>114</v>
      </c>
    </row>
    <row r="135" spans="2:4" x14ac:dyDescent="0.25">
      <c r="B135" s="19" t="s">
        <v>115</v>
      </c>
      <c r="C135" s="18">
        <v>125718</v>
      </c>
      <c r="D135" s="37">
        <v>248.04</v>
      </c>
    </row>
    <row r="136" spans="2:4" x14ac:dyDescent="0.25">
      <c r="B136" s="19" t="s">
        <v>116</v>
      </c>
      <c r="C136" s="18">
        <v>8900115808</v>
      </c>
      <c r="D136" s="37">
        <v>59.07</v>
      </c>
    </row>
    <row r="137" spans="2:4" x14ac:dyDescent="0.25">
      <c r="B137" s="19" t="s">
        <v>117</v>
      </c>
      <c r="C137" s="18">
        <v>8900205102</v>
      </c>
      <c r="D137" s="37">
        <v>17.25</v>
      </c>
    </row>
    <row r="138" spans="2:4" x14ac:dyDescent="0.25">
      <c r="B138" s="19" t="s">
        <v>118</v>
      </c>
      <c r="C138" s="18">
        <v>7825015004</v>
      </c>
      <c r="D138" s="37">
        <v>782.56</v>
      </c>
    </row>
    <row r="139" spans="2:4" x14ac:dyDescent="0.25">
      <c r="B139" s="19" t="s">
        <v>119</v>
      </c>
      <c r="C139" s="18">
        <v>175547</v>
      </c>
      <c r="D139" s="37">
        <v>662.22</v>
      </c>
    </row>
    <row r="140" spans="2:4" x14ac:dyDescent="0.25">
      <c r="B140" s="19" t="s">
        <v>120</v>
      </c>
      <c r="C140" s="18">
        <v>8900102709</v>
      </c>
      <c r="D140" s="37">
        <v>181.98</v>
      </c>
    </row>
    <row r="141" spans="2:4" x14ac:dyDescent="0.25">
      <c r="B141" s="19" t="s">
        <v>121</v>
      </c>
      <c r="C141" s="18">
        <v>8901020100</v>
      </c>
      <c r="D141" s="37">
        <v>32.200000000000003</v>
      </c>
    </row>
    <row r="142" spans="2:4" x14ac:dyDescent="0.25">
      <c r="B142" s="19" t="s">
        <v>122</v>
      </c>
      <c r="C142" s="18">
        <v>8900105302</v>
      </c>
      <c r="D142" s="37">
        <v>38</v>
      </c>
    </row>
    <row r="143" spans="2:4" x14ac:dyDescent="0.25">
      <c r="B143" s="19" t="s">
        <v>123</v>
      </c>
      <c r="C143" s="18">
        <v>5730002008</v>
      </c>
      <c r="D143" s="37">
        <v>38.67</v>
      </c>
    </row>
    <row r="144" spans="2:4" x14ac:dyDescent="0.25">
      <c r="B144" s="19" t="s">
        <v>124</v>
      </c>
      <c r="C144" s="18">
        <v>9002101709</v>
      </c>
      <c r="D144" s="37">
        <v>28.75</v>
      </c>
    </row>
    <row r="145" spans="2:4" x14ac:dyDescent="0.25">
      <c r="B145" s="19" t="s">
        <v>125</v>
      </c>
      <c r="C145" s="18">
        <v>5720101006</v>
      </c>
      <c r="D145" s="37">
        <v>177.1</v>
      </c>
    </row>
    <row r="146" spans="2:4" x14ac:dyDescent="0.25">
      <c r="B146" s="19" t="s">
        <v>126</v>
      </c>
      <c r="C146" s="18">
        <v>93301009</v>
      </c>
      <c r="D146" s="37">
        <v>3.45</v>
      </c>
    </row>
    <row r="147" spans="2:4" x14ac:dyDescent="0.25">
      <c r="B147" s="19" t="s">
        <v>127</v>
      </c>
      <c r="C147" s="18">
        <v>8243301301</v>
      </c>
      <c r="D147" s="37">
        <v>219.55</v>
      </c>
    </row>
    <row r="149" spans="2:4" x14ac:dyDescent="0.25">
      <c r="B149" s="19" t="s">
        <v>128</v>
      </c>
    </row>
    <row r="150" spans="2:4" x14ac:dyDescent="0.25">
      <c r="B150" s="20" t="s">
        <v>129</v>
      </c>
      <c r="C150" s="14">
        <v>137859</v>
      </c>
      <c r="D150" s="33">
        <v>11.5</v>
      </c>
    </row>
    <row r="151" spans="2:4" x14ac:dyDescent="0.25">
      <c r="B151" s="20" t="s">
        <v>130</v>
      </c>
      <c r="C151" s="14">
        <v>137861</v>
      </c>
      <c r="D151" s="33">
        <v>11.5</v>
      </c>
    </row>
    <row r="152" spans="2:4" x14ac:dyDescent="0.25">
      <c r="B152" s="20" t="s">
        <v>131</v>
      </c>
      <c r="C152" s="14">
        <v>135417</v>
      </c>
      <c r="D152" s="33">
        <v>11.5</v>
      </c>
    </row>
    <row r="153" spans="2:4" x14ac:dyDescent="0.25">
      <c r="B153" s="20" t="s">
        <v>132</v>
      </c>
      <c r="C153" s="14">
        <v>137826</v>
      </c>
      <c r="D153" s="33">
        <v>11.5</v>
      </c>
    </row>
    <row r="154" spans="2:4" x14ac:dyDescent="0.25">
      <c r="B154" s="20" t="s">
        <v>133</v>
      </c>
      <c r="C154" s="14">
        <v>209647</v>
      </c>
      <c r="D154" s="33">
        <v>11.5</v>
      </c>
    </row>
    <row r="155" spans="2:4" x14ac:dyDescent="0.25">
      <c r="B155" s="20" t="s">
        <v>134</v>
      </c>
      <c r="C155" s="14">
        <v>209648</v>
      </c>
      <c r="D155" s="33">
        <v>11.5</v>
      </c>
    </row>
    <row r="156" spans="2:4" x14ac:dyDescent="0.25">
      <c r="B156" s="20" t="s">
        <v>135</v>
      </c>
      <c r="C156" s="14">
        <v>173685</v>
      </c>
      <c r="D156" s="33">
        <v>11.5</v>
      </c>
    </row>
    <row r="157" spans="2:4" x14ac:dyDescent="0.25">
      <c r="B157" s="20" t="s">
        <v>136</v>
      </c>
      <c r="C157" s="14">
        <v>173686</v>
      </c>
      <c r="D157" s="33">
        <v>11.5</v>
      </c>
    </row>
    <row r="158" spans="2:4" x14ac:dyDescent="0.25">
      <c r="B158" s="20" t="s">
        <v>137</v>
      </c>
      <c r="C158" s="14">
        <v>5710538000</v>
      </c>
      <c r="D158" s="33">
        <v>11.5</v>
      </c>
    </row>
    <row r="159" spans="2:4" x14ac:dyDescent="0.25">
      <c r="B159" s="20" t="s">
        <v>138</v>
      </c>
      <c r="C159" s="14">
        <v>5710113000</v>
      </c>
      <c r="D159" s="33">
        <v>66.680000000000007</v>
      </c>
    </row>
    <row r="160" spans="2:4" x14ac:dyDescent="0.25">
      <c r="B160" s="20" t="s">
        <v>139</v>
      </c>
      <c r="C160" s="14">
        <v>5710114000</v>
      </c>
      <c r="D160" s="33">
        <v>11.5</v>
      </c>
    </row>
    <row r="162" spans="2:4" x14ac:dyDescent="0.25">
      <c r="B162" s="20" t="s">
        <v>156</v>
      </c>
    </row>
    <row r="163" spans="2:4" x14ac:dyDescent="0.25">
      <c r="B163" s="19" t="s">
        <v>157</v>
      </c>
      <c r="C163" s="18">
        <v>144605</v>
      </c>
      <c r="D163" s="37">
        <v>700</v>
      </c>
    </row>
    <row r="164" spans="2:4" x14ac:dyDescent="0.25">
      <c r="B164" s="19" t="s">
        <v>158</v>
      </c>
      <c r="C164" s="18">
        <v>145646</v>
      </c>
      <c r="D164" s="37">
        <v>550</v>
      </c>
    </row>
    <row r="165" spans="2:4" x14ac:dyDescent="0.25">
      <c r="B165" s="19" t="s">
        <v>159</v>
      </c>
      <c r="C165" s="18">
        <v>139770</v>
      </c>
      <c r="D165" s="37">
        <v>350</v>
      </c>
    </row>
    <row r="166" spans="2:4" x14ac:dyDescent="0.25">
      <c r="B166" s="19" t="s">
        <v>160</v>
      </c>
      <c r="C166" s="18">
        <v>179320</v>
      </c>
      <c r="D166" s="37">
        <v>700</v>
      </c>
    </row>
    <row r="167" spans="2:4" x14ac:dyDescent="0.25">
      <c r="B167" s="19" t="s">
        <v>161</v>
      </c>
      <c r="C167" s="18">
        <v>168633</v>
      </c>
      <c r="D167" s="37">
        <v>700</v>
      </c>
    </row>
    <row r="168" spans="2:4" x14ac:dyDescent="0.25">
      <c r="B168" s="19" t="s">
        <v>162</v>
      </c>
      <c r="C168" s="18">
        <v>164369</v>
      </c>
      <c r="D168" s="37">
        <v>350</v>
      </c>
    </row>
    <row r="169" spans="2:4" x14ac:dyDescent="0.25">
      <c r="B169" s="19" t="s">
        <v>163</v>
      </c>
      <c r="C169" s="18">
        <v>177547</v>
      </c>
      <c r="D169" s="37">
        <v>800</v>
      </c>
    </row>
    <row r="171" spans="2:4" x14ac:dyDescent="0.25">
      <c r="B171" s="19" t="s">
        <v>164</v>
      </c>
    </row>
    <row r="172" spans="2:4" x14ac:dyDescent="0.25">
      <c r="B172" s="19" t="s">
        <v>165</v>
      </c>
      <c r="C172" s="18">
        <v>214372</v>
      </c>
      <c r="D172" s="37">
        <v>170</v>
      </c>
    </row>
    <row r="173" spans="2:4" x14ac:dyDescent="0.25">
      <c r="B173" s="19" t="s">
        <v>166</v>
      </c>
      <c r="C173" s="18">
        <v>214463</v>
      </c>
      <c r="D173" s="37">
        <v>170</v>
      </c>
    </row>
    <row r="174" spans="2:4" x14ac:dyDescent="0.25">
      <c r="B174" s="19" t="s">
        <v>167</v>
      </c>
      <c r="C174" s="18">
        <v>3900118005</v>
      </c>
      <c r="D174" s="37">
        <v>180</v>
      </c>
    </row>
    <row r="175" spans="2:4" x14ac:dyDescent="0.25">
      <c r="B175" s="19" t="s">
        <v>168</v>
      </c>
      <c r="C175" s="18">
        <v>117468</v>
      </c>
      <c r="D175" s="37">
        <v>157</v>
      </c>
    </row>
    <row r="176" spans="2:4" x14ac:dyDescent="0.25">
      <c r="B176" s="19" t="s">
        <v>169</v>
      </c>
      <c r="C176" s="18">
        <v>3995053008</v>
      </c>
      <c r="D176" s="37">
        <v>218.19</v>
      </c>
    </row>
    <row r="177" spans="2:4" x14ac:dyDescent="0.25">
      <c r="B177" s="19" t="s">
        <v>170</v>
      </c>
      <c r="C177" s="18">
        <v>164237</v>
      </c>
      <c r="D177" s="37">
        <v>247.98</v>
      </c>
    </row>
    <row r="179" spans="2:4" x14ac:dyDescent="0.25">
      <c r="B179" s="19" t="s">
        <v>171</v>
      </c>
    </row>
    <row r="180" spans="2:4" x14ac:dyDescent="0.25">
      <c r="B180" s="19" t="s">
        <v>172</v>
      </c>
      <c r="C180" s="18">
        <v>8900101909</v>
      </c>
      <c r="D180" s="37">
        <v>50.38</v>
      </c>
    </row>
    <row r="181" spans="2:4" x14ac:dyDescent="0.25">
      <c r="B181" s="19" t="s">
        <v>173</v>
      </c>
      <c r="C181" s="18">
        <v>205490</v>
      </c>
      <c r="D181" s="37">
        <v>119.59</v>
      </c>
    </row>
    <row r="182" spans="2:4" x14ac:dyDescent="0.25">
      <c r="B182" s="19" t="s">
        <v>174</v>
      </c>
      <c r="C182" s="21" t="s">
        <v>176</v>
      </c>
      <c r="D182" s="37">
        <v>400</v>
      </c>
    </row>
    <row r="183" spans="2:4" x14ac:dyDescent="0.25">
      <c r="B183" s="19" t="s">
        <v>11</v>
      </c>
      <c r="C183" s="21" t="s">
        <v>10</v>
      </c>
      <c r="D183" s="37">
        <v>457.63</v>
      </c>
    </row>
    <row r="184" spans="2:4" x14ac:dyDescent="0.25">
      <c r="B184" s="19" t="s">
        <v>175</v>
      </c>
      <c r="C184" s="18">
        <v>8901015009</v>
      </c>
      <c r="D184" s="37">
        <v>18.5</v>
      </c>
    </row>
    <row r="185" spans="2:4" x14ac:dyDescent="0.25">
      <c r="D185" s="32">
        <v>46.39</v>
      </c>
    </row>
    <row r="186" spans="2:4" x14ac:dyDescent="0.25">
      <c r="B186" s="31" t="s">
        <v>211</v>
      </c>
      <c r="C186" s="31">
        <v>156557</v>
      </c>
      <c r="D186" s="38">
        <v>600</v>
      </c>
    </row>
    <row r="187" spans="2:4" x14ac:dyDescent="0.25">
      <c r="B187" s="31" t="s">
        <v>212</v>
      </c>
      <c r="C187" s="31">
        <v>152606</v>
      </c>
      <c r="D187" s="38">
        <v>650</v>
      </c>
    </row>
    <row r="189" spans="2:4" x14ac:dyDescent="0.25">
      <c r="B189" s="26" t="s">
        <v>216</v>
      </c>
      <c r="C189" s="25">
        <v>153923</v>
      </c>
      <c r="D189" s="39">
        <v>63.25</v>
      </c>
    </row>
    <row r="190" spans="2:4" x14ac:dyDescent="0.25">
      <c r="B190" s="26" t="s">
        <v>217</v>
      </c>
      <c r="C190" s="25">
        <v>153921</v>
      </c>
      <c r="D190" s="39">
        <v>63.25</v>
      </c>
    </row>
    <row r="191" spans="2:4" x14ac:dyDescent="0.25">
      <c r="B191" s="26" t="s">
        <v>218</v>
      </c>
      <c r="C191" s="25">
        <v>153919</v>
      </c>
      <c r="D191" s="39">
        <v>63.25</v>
      </c>
    </row>
    <row r="192" spans="2:4" x14ac:dyDescent="0.25">
      <c r="B192" s="26" t="s">
        <v>219</v>
      </c>
      <c r="C192" s="25">
        <v>153917</v>
      </c>
      <c r="D192" s="39">
        <v>63.25</v>
      </c>
    </row>
    <row r="193" spans="2:4" x14ac:dyDescent="0.25">
      <c r="B193" s="26" t="s">
        <v>220</v>
      </c>
      <c r="C193" s="25">
        <v>153924</v>
      </c>
      <c r="D193" s="39">
        <v>63.25</v>
      </c>
    </row>
    <row r="194" spans="2:4" x14ac:dyDescent="0.25">
      <c r="B194" s="26" t="s">
        <v>221</v>
      </c>
      <c r="C194" s="25">
        <v>153922</v>
      </c>
      <c r="D194" s="39">
        <v>63.25</v>
      </c>
    </row>
    <row r="195" spans="2:4" x14ac:dyDescent="0.25">
      <c r="B195" s="26" t="s">
        <v>222</v>
      </c>
      <c r="C195" s="25">
        <v>153920</v>
      </c>
      <c r="D195" s="39">
        <v>63.25</v>
      </c>
    </row>
    <row r="196" spans="2:4" x14ac:dyDescent="0.25">
      <c r="B196" s="26" t="s">
        <v>223</v>
      </c>
      <c r="C196" s="25">
        <v>153918</v>
      </c>
      <c r="D196" s="39">
        <v>63.25</v>
      </c>
    </row>
    <row r="198" spans="2:4" x14ac:dyDescent="0.25">
      <c r="C198"/>
      <c r="D198" s="40"/>
    </row>
    <row r="199" spans="2:4" x14ac:dyDescent="0.25">
      <c r="C199"/>
      <c r="D199" s="40"/>
    </row>
    <row r="201" spans="2:4" x14ac:dyDescent="0.25">
      <c r="B201" s="31" t="s">
        <v>224</v>
      </c>
      <c r="C201" s="31">
        <v>686010</v>
      </c>
      <c r="D201" s="38" t="e">
        <f>VLOOKUP(C201,[1]Sheet3!$C:$F,4,FALSE)</f>
        <v>#N/A</v>
      </c>
    </row>
    <row r="202" spans="2:4" x14ac:dyDescent="0.25">
      <c r="B202" s="31" t="s">
        <v>225</v>
      </c>
      <c r="C202" s="31">
        <v>686013</v>
      </c>
      <c r="D202" s="38" t="e">
        <f>VLOOKUP(C202,[1]Sheet3!$C:$F,4,FALSE)</f>
        <v>#N/A</v>
      </c>
    </row>
    <row r="203" spans="2:4" x14ac:dyDescent="0.25">
      <c r="B203" s="31" t="s">
        <v>226</v>
      </c>
      <c r="C203" s="31">
        <v>686312</v>
      </c>
      <c r="D203" s="38" t="e">
        <f>VLOOKUP(C203,[1]Sheet3!$C:$F,4,FALSE)</f>
        <v>#N/A</v>
      </c>
    </row>
    <row r="204" spans="2:4" x14ac:dyDescent="0.25">
      <c r="B204" s="31" t="s">
        <v>227</v>
      </c>
      <c r="C204" s="31">
        <v>686675</v>
      </c>
      <c r="D204" s="38" t="e">
        <f>VLOOKUP(C204,[1]Sheet3!$C:$F,4,FALSE)</f>
        <v>#N/A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 de Pedidos SONIC</vt:lpstr>
      <vt:lpstr>Planilha1</vt:lpstr>
      <vt:lpstr>ENDEREÇAMENTO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Burneiko de Godoy</dc:creator>
  <cp:lastModifiedBy>Paulo Leite</cp:lastModifiedBy>
  <dcterms:created xsi:type="dcterms:W3CDTF">2021-09-28T19:09:19Z</dcterms:created>
  <dcterms:modified xsi:type="dcterms:W3CDTF">2026-04-28T21:34:00Z</dcterms:modified>
</cp:coreProperties>
</file>